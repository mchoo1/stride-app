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taurants" sheetId="1" state="visible" r:id="rId3"/>
    <sheet name="How to Us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<sst xmlns="http://schemas.openxmlformats.org/spreadsheetml/2006/main" count="350" uniqueCount="215">
  <si>
    <t xml:space="preserve">🍜  STRIDE — Food Data Research Tracker</t>
  </si>
  <si>
    <t xml:space="preserve">ID</t>
  </si>
  <si>
    <t xml:space="preserve">Restaurant Name</t>
  </si>
  <si>
    <t xml:space="preserve">Emoji</t>
  </si>
  <si>
    <t xml:space="preserve">Tab</t>
  </si>
  <si>
    <t xml:space="preserve">Cuisine</t>
  </si>
  <si>
    <t xml:space="preserve">Nutrition URL</t>
  </si>
  <si>
    <t xml:space="preserve">Output File</t>
  </si>
  <si>
    <t xml:space="preserve">Status</t>
  </si>
  <si>
    <t xml:space="preserve">Assignee</t>
  </si>
  <si>
    <t xml:space="preserve">Item Count</t>
  </si>
  <si>
    <t xml:space="preserve">Macro
Completeness</t>
  </si>
  <si>
    <t xml:space="preserve">Price
Available</t>
  </si>
  <si>
    <t xml:space="preserve">Data Source</t>
  </si>
  <si>
    <t xml:space="preserve">Source URL</t>
  </si>
  <si>
    <t xml:space="preserve">Notes</t>
  </si>
  <si>
    <t xml:space="preserve">Last Checked</t>
  </si>
  <si>
    <t xml:space="preserve">grain</t>
  </si>
  <si>
    <t xml:space="preserve">Grain</t>
  </si>
  <si>
    <t xml:space="preserve">🥘</t>
  </si>
  <si>
    <t xml:space="preserve">grab_go</t>
  </si>
  <si>
    <t xml:space="preserve">Healthy Meals</t>
  </si>
  <si>
    <t xml:space="preserve">https://grain.com.sg</t>
  </si>
  <si>
    <t xml:space="preserve">grab-and-go/grain_sg.json</t>
  </si>
  <si>
    <t xml:space="preserve">ready</t>
  </si>
  <si>
    <t xml:space="preserve">high</t>
  </si>
  <si>
    <t xml:space="preserve">Yes</t>
  </si>
  <si>
    <t xml:space="preserve">official_sg</t>
  </si>
  <si>
    <t xml:space="preserve">Full macro data for Mains. File converted from reference data.</t>
  </si>
  <si>
    <t xml:space="preserve">2026-04-19</t>
  </si>
  <si>
    <t xml:space="preserve">stuffd</t>
  </si>
  <si>
    <t xml:space="preserve">Stuffd</t>
  </si>
  <si>
    <t xml:space="preserve">🌯</t>
  </si>
  <si>
    <t xml:space="preserve">Kebabs &amp; Wraps</t>
  </si>
  <si>
    <t xml:space="preserve">https://stuffd.com.sg</t>
  </si>
  <si>
    <t xml:space="preserve">grab-and-go/stuffd_sg.json</t>
  </si>
  <si>
    <t xml:space="preserve">Build-your-own. Combos estimated from official per-ingredient data.</t>
  </si>
  <si>
    <t xml:space="preserve">saladstop</t>
  </si>
  <si>
    <t xml:space="preserve">SaladStop!</t>
  </si>
  <si>
    <t xml:space="preserve">🥙</t>
  </si>
  <si>
    <t xml:space="preserve">Healthy Salads</t>
  </si>
  <si>
    <t xml:space="preserve">https://saladstop.com.sg/nutrition</t>
  </si>
  <si>
    <t xml:space="preserve">grab-and-go/saladstop_sg.json</t>
  </si>
  <si>
    <t xml:space="preserve">partial</t>
  </si>
  <si>
    <t xml:space="preserve">medium</t>
  </si>
  <si>
    <t xml:space="preserve">No</t>
  </si>
  <si>
    <t xml:space="preserve">community</t>
  </si>
  <si>
    <t xml:space="preserve">https://www.mynetdiary.com/food.do</t>
  </si>
  <si>
    <t xml:space="preserve">Macros from MyNetDiary community (verified: false). Prices missing — check official site.</t>
  </si>
  <si>
    <t xml:space="preserve">saladbox</t>
  </si>
  <si>
    <t xml:space="preserve">The Salad Box</t>
  </si>
  <si>
    <t xml:space="preserve">🥗</t>
  </si>
  <si>
    <t xml:space="preserve">https://thesaladbox.com.sg</t>
  </si>
  <si>
    <t xml:space="preserve">grab-and-go/saladbox_sg.json</t>
  </si>
  <si>
    <t xml:space="preserve">low</t>
  </si>
  <si>
    <t xml:space="preserve">Calories only on official site. Protein/carbs/fat not published. Needs community macros.</t>
  </si>
  <si>
    <t xml:space="preserve">starbucks_sg</t>
  </si>
  <si>
    <t xml:space="preserve">Starbucks</t>
  </si>
  <si>
    <t xml:space="preserve">☕</t>
  </si>
  <si>
    <t xml:space="preserve">Cafe</t>
  </si>
  <si>
    <t xml:space="preserve">https://starbucks.com.sg/en/nutrition</t>
  </si>
  <si>
    <t xml:space="preserve">grab-and-go/starbucks_sg.json</t>
  </si>
  <si>
    <t xml:space="preserve">todo</t>
  </si>
  <si>
    <t xml:space="preserve">Official nutrition available. Focus on food items (sandwiches, wraps) + popular drinks.</t>
  </si>
  <si>
    <t xml:space="preserve">aw</t>
  </si>
  <si>
    <t xml:space="preserve">A&amp;W</t>
  </si>
  <si>
    <t xml:space="preserve">🍟</t>
  </si>
  <si>
    <t xml:space="preserve">restaurant</t>
  </si>
  <si>
    <t xml:space="preserve">Fast Food</t>
  </si>
  <si>
    <t xml:space="preserve">https://aw.com.sg</t>
  </si>
  <si>
    <t xml:space="preserve">restaurants/aw_sg.json</t>
  </si>
  <si>
    <t xml:space="preserve">unknown</t>
  </si>
  <si>
    <t xml:space="preserve">Halal-certified. Focus on burgers, waffles, curly fries. Check aw.com.sg for nutrition page.</t>
  </si>
  <si>
    <t xml:space="preserve">jollibee</t>
  </si>
  <si>
    <t xml:space="preserve">Jollibee</t>
  </si>
  <si>
    <t xml:space="preserve">🍗</t>
  </si>
  <si>
    <t xml:space="preserve">https://jollibee.com.sg</t>
  </si>
  <si>
    <t xml:space="preserve">restaurants/jollibee_sg.json</t>
  </si>
  <si>
    <t xml:space="preserve">Halal-certified. Focus on Chickenjoy, Jolly Spaghetti, burgers.</t>
  </si>
  <si>
    <t xml:space="preserve">popeyes</t>
  </si>
  <si>
    <t xml:space="preserve">Popeyes</t>
  </si>
  <si>
    <t xml:space="preserve">https://popeyes.com.sg</t>
  </si>
  <si>
    <t xml:space="preserve">restaurants/popeyes_sg.json</t>
  </si>
  <si>
    <t xml:space="preserve">Halal-certified. Focus on chicken pieces, tenders, sides.</t>
  </si>
  <si>
    <t xml:space="preserve">toast_box</t>
  </si>
  <si>
    <t xml:space="preserve">Toast Box</t>
  </si>
  <si>
    <t xml:space="preserve">🍞</t>
  </si>
  <si>
    <t xml:space="preserve">Local &amp; Hawker</t>
  </si>
  <si>
    <t xml:space="preserve">https://toastbox.com.sg</t>
  </si>
  <si>
    <t xml:space="preserve">grab-and-go/toast_box_sg.json</t>
  </si>
  <si>
    <t xml:space="preserve">Focus on kaya toast sets, soft-boiled eggs, coffee/tea. Similar to Ya Kun (already in app).</t>
  </si>
  <si>
    <t xml:space="preserve">liho</t>
  </si>
  <si>
    <t xml:space="preserve">LiHo</t>
  </si>
  <si>
    <t xml:space="preserve">🧋</t>
  </si>
  <si>
    <t xml:space="preserve">Bubble Tea</t>
  </si>
  <si>
    <t xml:space="preserve">https://lihosg.com</t>
  </si>
  <si>
    <t xml:space="preserve">grab-and-go/liho_sg.json</t>
  </si>
  <si>
    <t xml:space="preserve">Focus on Brown Sugar Series, Cheese Tea. Likely calories only — use community for macros.</t>
  </si>
  <si>
    <t xml:space="preserve">koithe</t>
  </si>
  <si>
    <t xml:space="preserve">KOI Thé</t>
  </si>
  <si>
    <t xml:space="preserve">https://www.koithe.com/sg</t>
  </si>
  <si>
    <t xml:space="preserve">grab-and-go/koi_sg.json</t>
  </si>
  <si>
    <t xml:space="preserve">Focus on milk teas, cheese teas, seasonal drinks.</t>
  </si>
  <si>
    <t xml:space="preserve">nourish_bowl</t>
  </si>
  <si>
    <t xml:space="preserve">Nourish Bowl</t>
  </si>
  <si>
    <t xml:space="preserve">Healthy Bowls</t>
  </si>
  <si>
    <t xml:space="preserve">https://nourishbowl.com.sg</t>
  </si>
  <si>
    <t xml:space="preserve">grab-and-go/nourish_bowl_sg.json</t>
  </si>
  <si>
    <t xml:space="preserve">Popular with fitness users. High protein bowl options.</t>
  </si>
  <si>
    <t xml:space="preserve">eatwell</t>
  </si>
  <si>
    <t xml:space="preserve">Eatwell</t>
  </si>
  <si>
    <t xml:space="preserve">https://eatwell.sg</t>
  </si>
  <si>
    <t xml:space="preserve">grab-and-go/eatwell_sg.json</t>
  </si>
  <si>
    <t xml:space="preserve">Popular healthy meal prep brand.</t>
  </si>
  <si>
    <t xml:space="preserve">cheers</t>
  </si>
  <si>
    <t xml:space="preserve">Cheers</t>
  </si>
  <si>
    <t xml:space="preserve">🏪</t>
  </si>
  <si>
    <t xml:space="preserve">Convenience</t>
  </si>
  <si>
    <t xml:space="preserve">https://cheers.com.sg</t>
  </si>
  <si>
    <t xml:space="preserve">grab-and-go/cheers_sg.json</t>
  </si>
  <si>
    <t xml:space="preserve">Focus on hot food: pies, sausages, rice bowls, sandwiches. Use USDA for packaged snacks.</t>
  </si>
  <si>
    <t xml:space="preserve">fairprice_xpress</t>
  </si>
  <si>
    <t xml:space="preserve">FairPrice Xpress</t>
  </si>
  <si>
    <t xml:space="preserve">https://fairprice.com.sg</t>
  </si>
  <si>
    <t xml:space="preserve">grab-and-go/fairprice_xpress_sg.json</t>
  </si>
  <si>
    <t xml:space="preserve">Ready-to-eat only: sandwiches, onigiri, hot food counter. Some items already in sgFoodDb.</t>
  </si>
  <si>
    <t xml:space="preserve">mcd</t>
  </si>
  <si>
    <t xml:space="preserve">McDonald's</t>
  </si>
  <si>
    <t xml:space="preserve">🍔</t>
  </si>
  <si>
    <t xml:space="preserve">https://www.mcdonalds.com.sg/nutrition/</t>
  </si>
  <si>
    <t xml:space="preserve">in_app</t>
  </si>
  <si>
    <t xml:space="preserve">Already live in sgFoodDb.ts. 52 items with full macros.</t>
  </si>
  <si>
    <t xml:space="preserve">2026-04-18</t>
  </si>
  <si>
    <t xml:space="preserve">kfc</t>
  </si>
  <si>
    <t xml:space="preserve">KFC</t>
  </si>
  <si>
    <t xml:space="preserve">https://kfc.com.sg/nutritionandallergen</t>
  </si>
  <si>
    <t xml:space="preserve">Already live in sgFoodDb.ts. 83 items with full macros.</t>
  </si>
  <si>
    <t xml:space="preserve">subway</t>
  </si>
  <si>
    <t xml:space="preserve">Subway</t>
  </si>
  <si>
    <t xml:space="preserve">🥖</t>
  </si>
  <si>
    <t xml:space="preserve">https://subwayisfresh.com.sg</t>
  </si>
  <si>
    <t xml:space="preserve">Already live in sgFoodDb.ts. 15 items verified.</t>
  </si>
  <si>
    <t xml:space="preserve">old_chang_kee</t>
  </si>
  <si>
    <t xml:space="preserve">Old Chang Kee</t>
  </si>
  <si>
    <t xml:space="preserve">🍢</t>
  </si>
  <si>
    <t xml:space="preserve">https://oldchangkee.com</t>
  </si>
  <si>
    <t xml:space="preserve">Already live in sgFoodDb.ts.</t>
  </si>
  <si>
    <t xml:space="preserve">ya_kun</t>
  </si>
  <si>
    <t xml:space="preserve">Ya Kun Kaya Toast</t>
  </si>
  <si>
    <t xml:space="preserve">🍳</t>
  </si>
  <si>
    <t xml:space="preserve">https://yakun.com</t>
  </si>
  <si>
    <t xml:space="preserve">breadtalk</t>
  </si>
  <si>
    <t xml:space="preserve">BreadTalk</t>
  </si>
  <si>
    <t xml:space="preserve">🥐</t>
  </si>
  <si>
    <t xml:space="preserve">Bakery</t>
  </si>
  <si>
    <t xml:space="preserve">https://breadtalk.com.sg</t>
  </si>
  <si>
    <t xml:space="preserve">gong_cha</t>
  </si>
  <si>
    <t xml:space="preserve">Gong Cha</t>
  </si>
  <si>
    <t xml:space="preserve">https://gong-cha-sg.com</t>
  </si>
  <si>
    <t xml:space="preserve">SUMMARY</t>
  </si>
  <si>
    <t xml:space="preserve">To Do</t>
  </si>
  <si>
    <t xml:space="preserve">In Progress</t>
  </si>
  <si>
    <t xml:space="preserve">Partial</t>
  </si>
  <si>
    <t xml:space="preserve">Ready</t>
  </si>
  <si>
    <t xml:space="preserve">In App</t>
  </si>
  <si>
    <t xml:space="preserve">📖  How to Use This Tracker</t>
  </si>
  <si>
    <t xml:space="preserve">WORKFLOW</t>
  </si>
  <si>
    <t xml:space="preserve">Step 1</t>
  </si>
  <si>
    <t xml:space="preserve">Open the Restaurants sheet and find a row with Status = todo</t>
  </si>
  <si>
    <t xml:space="preserve">Step 2</t>
  </si>
  <si>
    <t xml:space="preserve">Change Status to in_progress and enter your name in Assignee</t>
  </si>
  <si>
    <t xml:space="preserve">Step 3</t>
  </si>
  <si>
    <t xml:space="preserve">Visit the Nutrition URL column — that's your primary research source</t>
  </si>
  <si>
    <t xml:space="preserve">Step 4</t>
  </si>
  <si>
    <t xml:space="preserve">If the site has no nutrition data, try one fallback (HPB → MyNetDiary → Carb Manager)</t>
  </si>
  <si>
    <t xml:space="preserve">Step 5</t>
  </si>
  <si>
    <t xml:space="preserve">Create the JSON output file using the format in RESEARCH_TASK.md</t>
  </si>
  <si>
    <t xml:space="preserve">Step 6</t>
  </si>
  <si>
    <t xml:space="preserve">Save the file to the path shown in Output File column</t>
  </si>
  <si>
    <t xml:space="preserve">Step 7</t>
  </si>
  <si>
    <t xml:space="preserve">Update Status → ready, fill in Item Count, Macro Completeness, Source URL</t>
  </si>
  <si>
    <t xml:space="preserve">ADDING A RESTAURANT</t>
  </si>
  <si>
    <t xml:space="preserve">New row</t>
  </si>
  <si>
    <t xml:space="preserve">Scroll to the bottom of the Restaurants sheet and add a new row</t>
  </si>
  <si>
    <t xml:space="preserve">Lowercase slug, e.g. nandos, boost_juice, kopiboy</t>
  </si>
  <si>
    <t xml:space="preserve">restaurant = dine-in chains   |   grab_go = delivery / counters / cafes</t>
  </si>
  <si>
    <t xml:space="preserve">grab-and-go/brandname_sg.json  OR  restaurants/brandname_sg.json</t>
  </si>
  <si>
    <t xml:space="preserve">Set to todo — a Cowork session will pick it up on the next run</t>
  </si>
  <si>
    <t xml:space="preserve">STATUS LEGEND</t>
  </si>
  <si>
    <t xml:space="preserve">Not started — available to claim</t>
  </si>
  <si>
    <t xml:space="preserve">in_progress</t>
  </si>
  <si>
    <t xml:space="preserve">Being researched — check Assignee before starting</t>
  </si>
  <si>
    <t xml:space="preserve">File exists but incomplete (e.g. calories only, prices missing)</t>
  </si>
  <si>
    <t xml:space="preserve">JSON file complete — ready to merge into sgFoodDb.ts</t>
  </si>
  <si>
    <t xml:space="preserve">Already live in the app — no action needed</t>
  </si>
  <si>
    <t xml:space="preserve">MACRO COMPLETENESS</t>
  </si>
  <si>
    <t xml:space="preserve">Protein / carbs / fat all populated from official source</t>
  </si>
  <si>
    <t xml:space="preserve">Macros from community source, or some items missing</t>
  </si>
  <si>
    <t xml:space="preserve">Calories only published — no macros</t>
  </si>
  <si>
    <t xml:space="preserve">none</t>
  </si>
  <si>
    <t xml:space="preserve">No nutrition data found at all</t>
  </si>
  <si>
    <t xml:space="preserve">DATA SOURCES</t>
  </si>
  <si>
    <t xml:space="preserve">Brand's own Singapore website or nutrition PDF  →  verified: true</t>
  </si>
  <si>
    <t xml:space="preserve">hpb</t>
  </si>
  <si>
    <t xml:space="preserve">Health Promotion Board Singapore  →  verified: true</t>
  </si>
  <si>
    <t xml:space="preserve">MyNetDiary, Carb Manager, user submissions  →  verified: false</t>
  </si>
  <si>
    <t xml:space="preserve">FILE LOCATIONS</t>
  </si>
  <si>
    <t xml:space="preserve">Task brief</t>
  </si>
  <si>
    <t xml:space="preserve">docs/food-data/RESEARCH_TASK.md  — full step-by-step instructions</t>
  </si>
  <si>
    <t xml:space="preserve">Template</t>
  </si>
  <si>
    <t xml:space="preserve">docs/food-data/_template.restaurant.json  — copy this to start</t>
  </si>
  <si>
    <t xml:space="preserve">Example (full)</t>
  </si>
  <si>
    <t xml:space="preserve">docs/food-data/grab-and-go/grain_sg.json</t>
  </si>
  <si>
    <t xml:space="preserve">Example (partial)</t>
  </si>
  <si>
    <t xml:space="preserve">docs/food-data/grab-and-go/saladbox_sg.json</t>
  </si>
</sst>
</file>

<file path=xl/styles.xml><?xml version="1.0" encoding="utf-8"?>
<styleSheet xmlns="http://schemas.openxmlformats.org/spreadsheetml/2006/main">
  <numFmts count="1">
    <numFmt numFmtId="164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F1B2D"/>
      <name val="Arial"/>
      <family val="0"/>
      <charset val="1"/>
    </font>
    <font>
      <u val="single"/>
      <sz val="9"/>
      <color rgb="FF2E6FB8"/>
      <name val="Arial"/>
      <family val="0"/>
      <charset val="1"/>
    </font>
    <font>
      <b val="true"/>
      <sz val="9"/>
      <color rgb="FF1E7F5C"/>
      <name val="Arial"/>
      <family val="0"/>
      <charset val="1"/>
    </font>
    <font>
      <sz val="9"/>
      <color rgb="FF1E7F5C"/>
      <name val="Arial"/>
      <family val="0"/>
      <charset val="1"/>
    </font>
    <font>
      <b val="true"/>
      <sz val="9"/>
      <color rgb="FFD04E36"/>
      <name val="Arial"/>
      <family val="0"/>
      <charset val="1"/>
    </font>
    <font>
      <b val="true"/>
      <sz val="9"/>
      <color rgb="FFC98A2E"/>
      <name val="Arial"/>
      <family val="0"/>
      <charset val="1"/>
    </font>
    <font>
      <sz val="9"/>
      <color rgb="FFD04E36"/>
      <name val="Arial"/>
      <family val="0"/>
      <charset val="1"/>
    </font>
    <font>
      <b val="true"/>
      <sz val="9"/>
      <color rgb="FF5B6576"/>
      <name val="Arial"/>
      <family val="0"/>
      <charset val="1"/>
    </font>
    <font>
      <b val="true"/>
      <sz val="9"/>
      <color rgb="FF2E6FB8"/>
      <name val="Arial"/>
      <family val="0"/>
      <charset val="1"/>
    </font>
    <font>
      <b val="true"/>
      <sz val="12"/>
      <color rgb="FF5B6576"/>
      <name val="Arial"/>
      <family val="0"/>
      <charset val="1"/>
    </font>
    <font>
      <b val="true"/>
      <sz val="12"/>
      <color rgb="FFC98A2E"/>
      <name val="Arial"/>
      <family val="0"/>
      <charset val="1"/>
    </font>
    <font>
      <b val="true"/>
      <sz val="12"/>
      <color rgb="FFD04E36"/>
      <name val="Arial"/>
      <family val="0"/>
      <charset val="1"/>
    </font>
    <font>
      <b val="true"/>
      <sz val="12"/>
      <color rgb="FF1E7F5C"/>
      <name val="Arial"/>
      <family val="0"/>
      <charset val="1"/>
    </font>
    <font>
      <b val="true"/>
      <sz val="12"/>
      <color rgb="FF2E6FB8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9"/>
      <color rgb="FF0F1B2D"/>
      <name val="Arial"/>
      <family val="0"/>
      <charset val="1"/>
    </font>
    <font>
      <sz val="9"/>
      <color rgb="FF5B6576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0F1B2D"/>
        <bgColor rgb="FF1A2E45"/>
      </patternFill>
    </fill>
    <fill>
      <patternFill patternType="solid">
        <fgColor rgb="FF1A2E45"/>
        <bgColor rgb="FF0F1B2D"/>
      </patternFill>
    </fill>
    <fill>
      <patternFill patternType="solid">
        <fgColor rgb="FFFAFBFC"/>
        <bgColor rgb="FFF7F8FB"/>
      </patternFill>
    </fill>
    <fill>
      <patternFill patternType="solid">
        <fgColor rgb="FFE8F5F0"/>
        <bgColor rgb="FFEBF3FB"/>
      </patternFill>
    </fill>
    <fill>
      <patternFill patternType="solid">
        <fgColor rgb="FFFFFFFF"/>
        <bgColor rgb="FFFAFBFC"/>
      </patternFill>
    </fill>
    <fill>
      <patternFill patternType="solid">
        <fgColor rgb="FFFFF3E0"/>
        <bgColor rgb="FFFEF6E4"/>
      </patternFill>
    </fill>
    <fill>
      <patternFill patternType="solid">
        <fgColor rgb="FFFEF6E4"/>
        <bgColor rgb="FFFFF3E0"/>
      </patternFill>
    </fill>
    <fill>
      <patternFill patternType="solid">
        <fgColor rgb="FFFDECEA"/>
        <bgColor rgb="FFFFF3E0"/>
      </patternFill>
    </fill>
    <fill>
      <patternFill patternType="solid">
        <fgColor rgb="FFF7F8FB"/>
        <bgColor rgb="FFFAFBFC"/>
      </patternFill>
    </fill>
    <fill>
      <patternFill patternType="solid">
        <fgColor rgb="FFEBF3FB"/>
        <bgColor rgb="FFE8F5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5E9F2"/>
      </left>
      <right style="thin">
        <color rgb="FFE5E9F2"/>
      </right>
      <top style="thin">
        <color rgb="FFE5E9F2"/>
      </top>
      <bottom style="thin">
        <color rgb="FFE5E9F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1" fillId="1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F5C"/>
      <rgbColor rgb="FFFAFBFC"/>
      <rgbColor rgb="FF808080"/>
      <rgbColor rgb="FF9999FF"/>
      <rgbColor rgb="FF993366"/>
      <rgbColor rgb="FFFEF6E4"/>
      <rgbColor rgb="FFE8F5F0"/>
      <rgbColor rgb="FF660066"/>
      <rgbColor rgb="FFFF8080"/>
      <rgbColor rgb="FF0066CC"/>
      <rgbColor rgb="FFF7F8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3FB"/>
      <rgbColor rgb="FFE5E9F2"/>
      <rgbColor rgb="FFFFF3E0"/>
      <rgbColor rgb="FF99CCFF"/>
      <rgbColor rgb="FFFF99CC"/>
      <rgbColor rgb="FFCC99FF"/>
      <rgbColor rgb="FFFDECEA"/>
      <rgbColor rgb="FF2E6FB8"/>
      <rgbColor rgb="FF33CCCC"/>
      <rgbColor rgb="FF99CC00"/>
      <rgbColor rgb="FFFFCC00"/>
      <rgbColor rgb="FFC98A2E"/>
      <rgbColor rgb="FFD04E36"/>
      <rgbColor rgb="FF5B6576"/>
      <rgbColor rgb="FF969696"/>
      <rgbColor rgb="FF003366"/>
      <rgbColor rgb="FF339966"/>
      <rgbColor rgb="FF0F1B2D"/>
      <rgbColor rgb="FF333300"/>
      <rgbColor rgb="FF993300"/>
      <rgbColor rgb="FF993366"/>
      <rgbColor rgb="FF333399"/>
      <rgbColor rgb="FF1A2E4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30"/>
    <col collapsed="false" customWidth="true" hidden="false" outlineLevel="0" max="7" min="7" style="0" width="32"/>
    <col collapsed="false" customWidth="true" hidden="false" outlineLevel="0" max="8" min="8" style="0" width="14"/>
    <col collapsed="false" customWidth="true" hidden="false" outlineLevel="0" max="9" min="9" style="0" width="18"/>
    <col collapsed="false" customWidth="true" hidden="false" outlineLevel="0" max="10" min="10" style="0" width="11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14"/>
    <col collapsed="false" customWidth="true" hidden="false" outlineLevel="0" max="14" min="14" style="0" width="30"/>
    <col collapsed="false" customWidth="true" hidden="false" outlineLevel="0" max="15" min="15" style="0" width="40"/>
    <col collapsed="false" customWidth="true" hidden="false" outlineLevel="0" max="16" min="16" style="0" width="13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30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</row>
    <row r="3" customFormat="false" ht="36" hidden="false" customHeight="true" outlineLevel="0" collapsed="false">
      <c r="A3" s="3" t="s">
        <v>17</v>
      </c>
      <c r="B3" s="4" t="s">
        <v>18</v>
      </c>
      <c r="C3" s="3" t="s">
        <v>19</v>
      </c>
      <c r="D3" s="3" t="s">
        <v>20</v>
      </c>
      <c r="E3" s="4" t="s">
        <v>21</v>
      </c>
      <c r="F3" s="5" t="s">
        <v>22</v>
      </c>
      <c r="G3" s="4" t="s">
        <v>23</v>
      </c>
      <c r="H3" s="6" t="s">
        <v>24</v>
      </c>
      <c r="I3" s="4"/>
      <c r="J3" s="3" t="n">
        <v>20</v>
      </c>
      <c r="K3" s="6" t="s">
        <v>25</v>
      </c>
      <c r="L3" s="7" t="s">
        <v>26</v>
      </c>
      <c r="M3" s="4" t="s">
        <v>27</v>
      </c>
      <c r="N3" s="5" t="s">
        <v>22</v>
      </c>
      <c r="O3" s="8" t="s">
        <v>28</v>
      </c>
      <c r="P3" s="3" t="s">
        <v>29</v>
      </c>
    </row>
    <row r="4" customFormat="false" ht="36" hidden="false" customHeight="true" outlineLevel="0" collapsed="false">
      <c r="A4" s="9" t="s">
        <v>30</v>
      </c>
      <c r="B4" s="10" t="s">
        <v>31</v>
      </c>
      <c r="C4" s="9" t="s">
        <v>32</v>
      </c>
      <c r="D4" s="9" t="s">
        <v>20</v>
      </c>
      <c r="E4" s="10" t="s">
        <v>33</v>
      </c>
      <c r="F4" s="11" t="s">
        <v>34</v>
      </c>
      <c r="G4" s="10" t="s">
        <v>35</v>
      </c>
      <c r="H4" s="6" t="s">
        <v>24</v>
      </c>
      <c r="I4" s="10"/>
      <c r="J4" s="9" t="n">
        <v>7</v>
      </c>
      <c r="K4" s="6" t="s">
        <v>25</v>
      </c>
      <c r="L4" s="7" t="s">
        <v>26</v>
      </c>
      <c r="M4" s="10" t="s">
        <v>27</v>
      </c>
      <c r="N4" s="11" t="s">
        <v>34</v>
      </c>
      <c r="O4" s="12" t="s">
        <v>36</v>
      </c>
      <c r="P4" s="9" t="s">
        <v>29</v>
      </c>
    </row>
    <row r="5" customFormat="false" ht="36" hidden="false" customHeight="true" outlineLevel="0" collapsed="false">
      <c r="A5" s="3" t="s">
        <v>37</v>
      </c>
      <c r="B5" s="4" t="s">
        <v>38</v>
      </c>
      <c r="C5" s="3" t="s">
        <v>39</v>
      </c>
      <c r="D5" s="3" t="s">
        <v>20</v>
      </c>
      <c r="E5" s="4" t="s">
        <v>40</v>
      </c>
      <c r="F5" s="5" t="s">
        <v>41</v>
      </c>
      <c r="G5" s="4" t="s">
        <v>42</v>
      </c>
      <c r="H5" s="13" t="s">
        <v>43</v>
      </c>
      <c r="I5" s="4"/>
      <c r="J5" s="3" t="n">
        <v>22</v>
      </c>
      <c r="K5" s="14" t="s">
        <v>44</v>
      </c>
      <c r="L5" s="15" t="s">
        <v>45</v>
      </c>
      <c r="M5" s="4" t="s">
        <v>46</v>
      </c>
      <c r="N5" s="5" t="s">
        <v>47</v>
      </c>
      <c r="O5" s="8" t="s">
        <v>48</v>
      </c>
      <c r="P5" s="3" t="s">
        <v>29</v>
      </c>
    </row>
    <row r="6" customFormat="false" ht="36" hidden="false" customHeight="true" outlineLevel="0" collapsed="false">
      <c r="A6" s="9" t="s">
        <v>49</v>
      </c>
      <c r="B6" s="10" t="s">
        <v>50</v>
      </c>
      <c r="C6" s="9" t="s">
        <v>51</v>
      </c>
      <c r="D6" s="9" t="s">
        <v>20</v>
      </c>
      <c r="E6" s="10" t="s">
        <v>40</v>
      </c>
      <c r="F6" s="11" t="s">
        <v>52</v>
      </c>
      <c r="G6" s="10" t="s">
        <v>53</v>
      </c>
      <c r="H6" s="13" t="s">
        <v>43</v>
      </c>
      <c r="I6" s="10"/>
      <c r="J6" s="9" t="n">
        <v>12</v>
      </c>
      <c r="K6" s="16" t="s">
        <v>54</v>
      </c>
      <c r="L6" s="7" t="s">
        <v>26</v>
      </c>
      <c r="M6" s="10" t="s">
        <v>27</v>
      </c>
      <c r="N6" s="11" t="s">
        <v>52</v>
      </c>
      <c r="O6" s="12" t="s">
        <v>55</v>
      </c>
      <c r="P6" s="9" t="s">
        <v>29</v>
      </c>
    </row>
    <row r="7" customFormat="false" ht="36" hidden="false" customHeight="true" outlineLevel="0" collapsed="false">
      <c r="A7" s="3" t="s">
        <v>56</v>
      </c>
      <c r="B7" s="4" t="s">
        <v>57</v>
      </c>
      <c r="C7" s="3" t="s">
        <v>58</v>
      </c>
      <c r="D7" s="3" t="s">
        <v>20</v>
      </c>
      <c r="E7" s="4" t="s">
        <v>59</v>
      </c>
      <c r="F7" s="5" t="s">
        <v>60</v>
      </c>
      <c r="G7" s="4" t="s">
        <v>61</v>
      </c>
      <c r="H7" s="17" t="s">
        <v>62</v>
      </c>
      <c r="I7" s="4"/>
      <c r="J7" s="3"/>
      <c r="K7" s="6" t="s">
        <v>25</v>
      </c>
      <c r="L7" s="7" t="s">
        <v>26</v>
      </c>
      <c r="M7" s="4"/>
      <c r="N7" s="5"/>
      <c r="O7" s="8" t="s">
        <v>63</v>
      </c>
      <c r="P7" s="3"/>
    </row>
    <row r="8" customFormat="false" ht="36" hidden="false" customHeight="true" outlineLevel="0" collapsed="false">
      <c r="A8" s="9" t="s">
        <v>64</v>
      </c>
      <c r="B8" s="10" t="s">
        <v>65</v>
      </c>
      <c r="C8" s="9" t="s">
        <v>66</v>
      </c>
      <c r="D8" s="9" t="s">
        <v>67</v>
      </c>
      <c r="E8" s="10" t="s">
        <v>68</v>
      </c>
      <c r="F8" s="11" t="s">
        <v>69</v>
      </c>
      <c r="G8" s="10" t="s">
        <v>70</v>
      </c>
      <c r="H8" s="17" t="s">
        <v>62</v>
      </c>
      <c r="I8" s="10"/>
      <c r="J8" s="9"/>
      <c r="K8" s="17" t="s">
        <v>71</v>
      </c>
      <c r="L8" s="15" t="s">
        <v>45</v>
      </c>
      <c r="M8" s="10"/>
      <c r="N8" s="11"/>
      <c r="O8" s="12" t="s">
        <v>72</v>
      </c>
      <c r="P8" s="9"/>
    </row>
    <row r="9" customFormat="false" ht="36" hidden="false" customHeight="true" outlineLevel="0" collapsed="false">
      <c r="A9" s="3" t="s">
        <v>73</v>
      </c>
      <c r="B9" s="4" t="s">
        <v>74</v>
      </c>
      <c r="C9" s="3" t="s">
        <v>75</v>
      </c>
      <c r="D9" s="3" t="s">
        <v>67</v>
      </c>
      <c r="E9" s="4" t="s">
        <v>68</v>
      </c>
      <c r="F9" s="5" t="s">
        <v>76</v>
      </c>
      <c r="G9" s="4" t="s">
        <v>77</v>
      </c>
      <c r="H9" s="17" t="s">
        <v>62</v>
      </c>
      <c r="I9" s="4"/>
      <c r="J9" s="3"/>
      <c r="K9" s="17" t="s">
        <v>71</v>
      </c>
      <c r="L9" s="15" t="s">
        <v>45</v>
      </c>
      <c r="M9" s="4"/>
      <c r="N9" s="5"/>
      <c r="O9" s="8" t="s">
        <v>78</v>
      </c>
      <c r="P9" s="3"/>
    </row>
    <row r="10" customFormat="false" ht="36" hidden="false" customHeight="true" outlineLevel="0" collapsed="false">
      <c r="A10" s="9" t="s">
        <v>79</v>
      </c>
      <c r="B10" s="10" t="s">
        <v>80</v>
      </c>
      <c r="C10" s="9" t="s">
        <v>75</v>
      </c>
      <c r="D10" s="9" t="s">
        <v>67</v>
      </c>
      <c r="E10" s="10" t="s">
        <v>68</v>
      </c>
      <c r="F10" s="11" t="s">
        <v>81</v>
      </c>
      <c r="G10" s="10" t="s">
        <v>82</v>
      </c>
      <c r="H10" s="17" t="s">
        <v>62</v>
      </c>
      <c r="I10" s="10"/>
      <c r="J10" s="9"/>
      <c r="K10" s="17" t="s">
        <v>71</v>
      </c>
      <c r="L10" s="15" t="s">
        <v>45</v>
      </c>
      <c r="M10" s="10"/>
      <c r="N10" s="11"/>
      <c r="O10" s="12" t="s">
        <v>83</v>
      </c>
      <c r="P10" s="9"/>
    </row>
    <row r="11" customFormat="false" ht="36" hidden="false" customHeight="true" outlineLevel="0" collapsed="false">
      <c r="A11" s="3" t="s">
        <v>84</v>
      </c>
      <c r="B11" s="4" t="s">
        <v>85</v>
      </c>
      <c r="C11" s="3" t="s">
        <v>86</v>
      </c>
      <c r="D11" s="3" t="s">
        <v>20</v>
      </c>
      <c r="E11" s="4" t="s">
        <v>87</v>
      </c>
      <c r="F11" s="5" t="s">
        <v>88</v>
      </c>
      <c r="G11" s="4" t="s">
        <v>89</v>
      </c>
      <c r="H11" s="17" t="s">
        <v>62</v>
      </c>
      <c r="I11" s="4"/>
      <c r="J11" s="3"/>
      <c r="K11" s="17" t="s">
        <v>71</v>
      </c>
      <c r="L11" s="15" t="s">
        <v>45</v>
      </c>
      <c r="M11" s="4"/>
      <c r="N11" s="5"/>
      <c r="O11" s="8" t="s">
        <v>90</v>
      </c>
      <c r="P11" s="3"/>
    </row>
    <row r="12" customFormat="false" ht="36" hidden="false" customHeight="true" outlineLevel="0" collapsed="false">
      <c r="A12" s="9" t="s">
        <v>91</v>
      </c>
      <c r="B12" s="10" t="s">
        <v>92</v>
      </c>
      <c r="C12" s="9" t="s">
        <v>93</v>
      </c>
      <c r="D12" s="9" t="s">
        <v>20</v>
      </c>
      <c r="E12" s="10" t="s">
        <v>94</v>
      </c>
      <c r="F12" s="11" t="s">
        <v>95</v>
      </c>
      <c r="G12" s="10" t="s">
        <v>96</v>
      </c>
      <c r="H12" s="17" t="s">
        <v>62</v>
      </c>
      <c r="I12" s="10"/>
      <c r="J12" s="9"/>
      <c r="K12" s="17" t="s">
        <v>71</v>
      </c>
      <c r="L12" s="15" t="s">
        <v>45</v>
      </c>
      <c r="M12" s="10"/>
      <c r="N12" s="11"/>
      <c r="O12" s="12" t="s">
        <v>97</v>
      </c>
      <c r="P12" s="9"/>
    </row>
    <row r="13" customFormat="false" ht="36" hidden="false" customHeight="true" outlineLevel="0" collapsed="false">
      <c r="A13" s="3" t="s">
        <v>98</v>
      </c>
      <c r="B13" s="4" t="s">
        <v>99</v>
      </c>
      <c r="C13" s="3" t="s">
        <v>93</v>
      </c>
      <c r="D13" s="3" t="s">
        <v>20</v>
      </c>
      <c r="E13" s="4" t="s">
        <v>94</v>
      </c>
      <c r="F13" s="5" t="s">
        <v>100</v>
      </c>
      <c r="G13" s="4" t="s">
        <v>101</v>
      </c>
      <c r="H13" s="17" t="s">
        <v>62</v>
      </c>
      <c r="I13" s="4"/>
      <c r="J13" s="3"/>
      <c r="K13" s="17" t="s">
        <v>71</v>
      </c>
      <c r="L13" s="15" t="s">
        <v>45</v>
      </c>
      <c r="M13" s="4"/>
      <c r="N13" s="5"/>
      <c r="O13" s="8" t="s">
        <v>102</v>
      </c>
      <c r="P13" s="3"/>
    </row>
    <row r="14" customFormat="false" ht="36" hidden="false" customHeight="true" outlineLevel="0" collapsed="false">
      <c r="A14" s="9" t="s">
        <v>103</v>
      </c>
      <c r="B14" s="10" t="s">
        <v>104</v>
      </c>
      <c r="C14" s="9" t="s">
        <v>39</v>
      </c>
      <c r="D14" s="9" t="s">
        <v>20</v>
      </c>
      <c r="E14" s="10" t="s">
        <v>105</v>
      </c>
      <c r="F14" s="11" t="s">
        <v>106</v>
      </c>
      <c r="G14" s="10" t="s">
        <v>107</v>
      </c>
      <c r="H14" s="17" t="s">
        <v>62</v>
      </c>
      <c r="I14" s="10"/>
      <c r="J14" s="9"/>
      <c r="K14" s="17" t="s">
        <v>71</v>
      </c>
      <c r="L14" s="15" t="s">
        <v>45</v>
      </c>
      <c r="M14" s="10"/>
      <c r="N14" s="11"/>
      <c r="O14" s="12" t="s">
        <v>108</v>
      </c>
      <c r="P14" s="9"/>
    </row>
    <row r="15" customFormat="false" ht="36" hidden="false" customHeight="true" outlineLevel="0" collapsed="false">
      <c r="A15" s="3" t="s">
        <v>109</v>
      </c>
      <c r="B15" s="4" t="s">
        <v>110</v>
      </c>
      <c r="C15" s="3" t="s">
        <v>51</v>
      </c>
      <c r="D15" s="3" t="s">
        <v>20</v>
      </c>
      <c r="E15" s="4" t="s">
        <v>105</v>
      </c>
      <c r="F15" s="5" t="s">
        <v>111</v>
      </c>
      <c r="G15" s="4" t="s">
        <v>112</v>
      </c>
      <c r="H15" s="17" t="s">
        <v>62</v>
      </c>
      <c r="I15" s="4"/>
      <c r="J15" s="3"/>
      <c r="K15" s="17" t="s">
        <v>71</v>
      </c>
      <c r="L15" s="15" t="s">
        <v>45</v>
      </c>
      <c r="M15" s="4"/>
      <c r="N15" s="5"/>
      <c r="O15" s="8" t="s">
        <v>113</v>
      </c>
      <c r="P15" s="3"/>
    </row>
    <row r="16" customFormat="false" ht="36" hidden="false" customHeight="true" outlineLevel="0" collapsed="false">
      <c r="A16" s="9" t="s">
        <v>114</v>
      </c>
      <c r="B16" s="10" t="s">
        <v>115</v>
      </c>
      <c r="C16" s="9" t="s">
        <v>116</v>
      </c>
      <c r="D16" s="9" t="s">
        <v>20</v>
      </c>
      <c r="E16" s="10" t="s">
        <v>117</v>
      </c>
      <c r="F16" s="11" t="s">
        <v>118</v>
      </c>
      <c r="G16" s="10" t="s">
        <v>119</v>
      </c>
      <c r="H16" s="17" t="s">
        <v>62</v>
      </c>
      <c r="I16" s="10"/>
      <c r="J16" s="9"/>
      <c r="K16" s="17" t="s">
        <v>71</v>
      </c>
      <c r="L16" s="15" t="s">
        <v>45</v>
      </c>
      <c r="M16" s="10"/>
      <c r="N16" s="11"/>
      <c r="O16" s="12" t="s">
        <v>120</v>
      </c>
      <c r="P16" s="9"/>
    </row>
    <row r="17" customFormat="false" ht="36" hidden="false" customHeight="true" outlineLevel="0" collapsed="false">
      <c r="A17" s="3" t="s">
        <v>121</v>
      </c>
      <c r="B17" s="4" t="s">
        <v>122</v>
      </c>
      <c r="C17" s="3" t="s">
        <v>116</v>
      </c>
      <c r="D17" s="3" t="s">
        <v>20</v>
      </c>
      <c r="E17" s="4" t="s">
        <v>117</v>
      </c>
      <c r="F17" s="5" t="s">
        <v>123</v>
      </c>
      <c r="G17" s="4" t="s">
        <v>124</v>
      </c>
      <c r="H17" s="17" t="s">
        <v>62</v>
      </c>
      <c r="I17" s="4"/>
      <c r="J17" s="3"/>
      <c r="K17" s="17" t="s">
        <v>71</v>
      </c>
      <c r="L17" s="15" t="s">
        <v>45</v>
      </c>
      <c r="M17" s="4"/>
      <c r="N17" s="5"/>
      <c r="O17" s="8" t="s">
        <v>125</v>
      </c>
      <c r="P17" s="3"/>
    </row>
    <row r="18" customFormat="false" ht="36" hidden="false" customHeight="true" outlineLevel="0" collapsed="false">
      <c r="A18" s="9" t="s">
        <v>126</v>
      </c>
      <c r="B18" s="10" t="s">
        <v>127</v>
      </c>
      <c r="C18" s="9" t="s">
        <v>128</v>
      </c>
      <c r="D18" s="9" t="s">
        <v>67</v>
      </c>
      <c r="E18" s="10" t="s">
        <v>68</v>
      </c>
      <c r="F18" s="11" t="s">
        <v>129</v>
      </c>
      <c r="G18" s="10"/>
      <c r="H18" s="18" t="s">
        <v>130</v>
      </c>
      <c r="I18" s="10"/>
      <c r="J18" s="9" t="n">
        <v>52</v>
      </c>
      <c r="K18" s="6" t="s">
        <v>25</v>
      </c>
      <c r="L18" s="7" t="s">
        <v>26</v>
      </c>
      <c r="M18" s="10" t="s">
        <v>27</v>
      </c>
      <c r="N18" s="11" t="s">
        <v>129</v>
      </c>
      <c r="O18" s="12" t="s">
        <v>131</v>
      </c>
      <c r="P18" s="9" t="s">
        <v>132</v>
      </c>
    </row>
    <row r="19" customFormat="false" ht="36" hidden="false" customHeight="true" outlineLevel="0" collapsed="false">
      <c r="A19" s="3" t="s">
        <v>133</v>
      </c>
      <c r="B19" s="4" t="s">
        <v>134</v>
      </c>
      <c r="C19" s="3" t="s">
        <v>75</v>
      </c>
      <c r="D19" s="3" t="s">
        <v>67</v>
      </c>
      <c r="E19" s="4" t="s">
        <v>68</v>
      </c>
      <c r="F19" s="5" t="s">
        <v>135</v>
      </c>
      <c r="G19" s="4"/>
      <c r="H19" s="18" t="s">
        <v>130</v>
      </c>
      <c r="I19" s="4"/>
      <c r="J19" s="3" t="n">
        <v>83</v>
      </c>
      <c r="K19" s="6" t="s">
        <v>25</v>
      </c>
      <c r="L19" s="7" t="s">
        <v>26</v>
      </c>
      <c r="M19" s="4" t="s">
        <v>27</v>
      </c>
      <c r="N19" s="5" t="s">
        <v>135</v>
      </c>
      <c r="O19" s="8" t="s">
        <v>136</v>
      </c>
      <c r="P19" s="3" t="s">
        <v>132</v>
      </c>
    </row>
    <row r="20" customFormat="false" ht="36" hidden="false" customHeight="true" outlineLevel="0" collapsed="false">
      <c r="A20" s="9" t="s">
        <v>137</v>
      </c>
      <c r="B20" s="10" t="s">
        <v>138</v>
      </c>
      <c r="C20" s="9" t="s">
        <v>139</v>
      </c>
      <c r="D20" s="9" t="s">
        <v>67</v>
      </c>
      <c r="E20" s="10" t="s">
        <v>68</v>
      </c>
      <c r="F20" s="11" t="s">
        <v>140</v>
      </c>
      <c r="G20" s="10"/>
      <c r="H20" s="18" t="s">
        <v>130</v>
      </c>
      <c r="I20" s="10"/>
      <c r="J20" s="9" t="n">
        <v>15</v>
      </c>
      <c r="K20" s="14" t="s">
        <v>44</v>
      </c>
      <c r="L20" s="7" t="s">
        <v>26</v>
      </c>
      <c r="M20" s="10" t="s">
        <v>27</v>
      </c>
      <c r="N20" s="11" t="s">
        <v>140</v>
      </c>
      <c r="O20" s="12" t="s">
        <v>141</v>
      </c>
      <c r="P20" s="9" t="s">
        <v>132</v>
      </c>
    </row>
    <row r="21" customFormat="false" ht="36" hidden="false" customHeight="true" outlineLevel="0" collapsed="false">
      <c r="A21" s="3" t="s">
        <v>142</v>
      </c>
      <c r="B21" s="4" t="s">
        <v>143</v>
      </c>
      <c r="C21" s="3" t="s">
        <v>144</v>
      </c>
      <c r="D21" s="3" t="s">
        <v>20</v>
      </c>
      <c r="E21" s="4" t="s">
        <v>87</v>
      </c>
      <c r="F21" s="5" t="s">
        <v>145</v>
      </c>
      <c r="G21" s="4"/>
      <c r="H21" s="18" t="s">
        <v>130</v>
      </c>
      <c r="I21" s="4"/>
      <c r="J21" s="3" t="n">
        <v>8</v>
      </c>
      <c r="K21" s="14" t="s">
        <v>44</v>
      </c>
      <c r="L21" s="7" t="s">
        <v>26</v>
      </c>
      <c r="M21" s="4" t="s">
        <v>27</v>
      </c>
      <c r="N21" s="5"/>
      <c r="O21" s="8" t="s">
        <v>146</v>
      </c>
      <c r="P21" s="3" t="s">
        <v>132</v>
      </c>
    </row>
    <row r="22" customFormat="false" ht="36" hidden="false" customHeight="true" outlineLevel="0" collapsed="false">
      <c r="A22" s="9" t="s">
        <v>147</v>
      </c>
      <c r="B22" s="10" t="s">
        <v>148</v>
      </c>
      <c r="C22" s="9" t="s">
        <v>149</v>
      </c>
      <c r="D22" s="9" t="s">
        <v>20</v>
      </c>
      <c r="E22" s="10" t="s">
        <v>87</v>
      </c>
      <c r="F22" s="11" t="s">
        <v>150</v>
      </c>
      <c r="G22" s="10"/>
      <c r="H22" s="18" t="s">
        <v>130</v>
      </c>
      <c r="I22" s="10"/>
      <c r="J22" s="9" t="n">
        <v>6</v>
      </c>
      <c r="K22" s="14" t="s">
        <v>44</v>
      </c>
      <c r="L22" s="7" t="s">
        <v>26</v>
      </c>
      <c r="M22" s="10" t="s">
        <v>27</v>
      </c>
      <c r="N22" s="11"/>
      <c r="O22" s="12" t="s">
        <v>146</v>
      </c>
      <c r="P22" s="9" t="s">
        <v>132</v>
      </c>
    </row>
    <row r="23" customFormat="false" ht="36" hidden="false" customHeight="true" outlineLevel="0" collapsed="false">
      <c r="A23" s="3" t="s">
        <v>151</v>
      </c>
      <c r="B23" s="4" t="s">
        <v>152</v>
      </c>
      <c r="C23" s="3" t="s">
        <v>153</v>
      </c>
      <c r="D23" s="3" t="s">
        <v>20</v>
      </c>
      <c r="E23" s="4" t="s">
        <v>154</v>
      </c>
      <c r="F23" s="5" t="s">
        <v>155</v>
      </c>
      <c r="G23" s="4"/>
      <c r="H23" s="18" t="s">
        <v>130</v>
      </c>
      <c r="I23" s="4"/>
      <c r="J23" s="3" t="n">
        <v>6</v>
      </c>
      <c r="K23" s="16" t="s">
        <v>54</v>
      </c>
      <c r="L23" s="7" t="s">
        <v>26</v>
      </c>
      <c r="M23" s="4" t="s">
        <v>27</v>
      </c>
      <c r="N23" s="5"/>
      <c r="O23" s="8" t="s">
        <v>146</v>
      </c>
      <c r="P23" s="3" t="s">
        <v>132</v>
      </c>
    </row>
    <row r="24" customFormat="false" ht="36" hidden="false" customHeight="true" outlineLevel="0" collapsed="false">
      <c r="A24" s="9" t="s">
        <v>156</v>
      </c>
      <c r="B24" s="10" t="s">
        <v>157</v>
      </c>
      <c r="C24" s="9" t="s">
        <v>93</v>
      </c>
      <c r="D24" s="9" t="s">
        <v>20</v>
      </c>
      <c r="E24" s="10" t="s">
        <v>94</v>
      </c>
      <c r="F24" s="11" t="s">
        <v>158</v>
      </c>
      <c r="G24" s="10"/>
      <c r="H24" s="18" t="s">
        <v>130</v>
      </c>
      <c r="I24" s="10"/>
      <c r="J24" s="9" t="n">
        <v>8</v>
      </c>
      <c r="K24" s="14" t="s">
        <v>44</v>
      </c>
      <c r="L24" s="7" t="s">
        <v>26</v>
      </c>
      <c r="M24" s="10" t="s">
        <v>27</v>
      </c>
      <c r="N24" s="11"/>
      <c r="O24" s="12" t="s">
        <v>146</v>
      </c>
      <c r="P24" s="9" t="s">
        <v>132</v>
      </c>
    </row>
    <row r="26" customFormat="false" ht="21.75" hidden="false" customHeight="true" outlineLevel="0" collapsed="false">
      <c r="A26" s="19" t="s">
        <v>159</v>
      </c>
      <c r="B26" s="19"/>
      <c r="C26" s="19"/>
      <c r="D26" s="19"/>
      <c r="E26" s="19"/>
      <c r="F26" s="19"/>
      <c r="G26" s="19"/>
      <c r="H26" s="17" t="s">
        <v>160</v>
      </c>
      <c r="I26" s="14" t="s">
        <v>161</v>
      </c>
      <c r="J26" s="16" t="s">
        <v>162</v>
      </c>
      <c r="K26" s="6" t="s">
        <v>163</v>
      </c>
      <c r="L26" s="18" t="s">
        <v>164</v>
      </c>
    </row>
    <row r="27" customFormat="false" ht="27.75" hidden="false" customHeight="true" outlineLevel="0" collapsed="false">
      <c r="H27" s="20" t="n">
        <f aca="false">COUNTIF(H3:H24,"todo")</f>
        <v>11</v>
      </c>
      <c r="I27" s="21" t="n">
        <f aca="false">COUNTIF(H3:H24,"in_progress")</f>
        <v>0</v>
      </c>
      <c r="J27" s="22" t="n">
        <f aca="false">COUNTIF(H3:H24,"partial")</f>
        <v>2</v>
      </c>
      <c r="K27" s="23" t="n">
        <f aca="false">COUNTIF(H3:H24,"ready")</f>
        <v>2</v>
      </c>
      <c r="L27" s="24" t="n">
        <f aca="false">COUNTIF(H3:H24,"in_app")</f>
        <v>7</v>
      </c>
    </row>
  </sheetData>
  <mergeCells count="2">
    <mergeCell ref="A1:P1"/>
    <mergeCell ref="A26:G26"/>
  </mergeCells>
  <dataValidations count="5">
    <dataValidation allowBlank="false" error="Use: todo, in_progress, partial, ready, or in_app" errorStyle="stop" errorTitle="Invalid status" operator="between" showDropDown="false" showErrorMessage="true" showInputMessage="false" sqref="H3:H74" type="list">
      <formula1>"todo,in_progress,partial,ready,in_app"</formula1>
      <formula2>0</formula2>
    </dataValidation>
    <dataValidation allowBlank="false" errorStyle="stop" operator="between" showDropDown="false" showErrorMessage="false" showInputMessage="false" sqref="D3:D74" type="list">
      <formula1>"restaurant,grab_go"</formula1>
      <formula2>0</formula2>
    </dataValidation>
    <dataValidation allowBlank="false" errorStyle="stop" operator="between" showDropDown="false" showErrorMessage="false" showInputMessage="false" sqref="K3:K74" type="list">
      <formula1>"high,medium,low,none,unknown"</formula1>
      <formula2>0</formula2>
    </dataValidation>
    <dataValidation allowBlank="false" errorStyle="stop" operator="between" showDropDown="false" showErrorMessage="false" showInputMessage="false" sqref="L3:L74" type="list">
      <formula1>"Yes,No"</formula1>
      <formula2>0</formula2>
    </dataValidation>
    <dataValidation allowBlank="false" errorStyle="stop" operator="between" showDropDown="false" showErrorMessage="false" showInputMessage="false" sqref="M3:M74" type="list">
      <formula1>"official_sg,hpb,community,ai_estimate"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60"/>
  </cols>
  <sheetData>
    <row r="1" customFormat="false" ht="31.5" hidden="false" customHeight="true" outlineLevel="0" collapsed="false">
      <c r="A1" s="25" t="s">
        <v>165</v>
      </c>
      <c r="B1" s="25"/>
      <c r="C1" s="25"/>
    </row>
    <row r="3" customFormat="false" ht="7.5" hidden="false" customHeight="true" outlineLevel="0" collapsed="false"/>
    <row r="4" customFormat="false" ht="19.5" hidden="false" customHeight="true" outlineLevel="0" collapsed="false">
      <c r="A4" s="26" t="s">
        <v>166</v>
      </c>
      <c r="B4" s="26"/>
      <c r="C4" s="26"/>
    </row>
    <row r="5" customFormat="false" ht="21.75" hidden="false" customHeight="true" outlineLevel="0" collapsed="false">
      <c r="B5" s="27" t="s">
        <v>167</v>
      </c>
      <c r="C5" s="28" t="s">
        <v>168</v>
      </c>
    </row>
    <row r="6" customFormat="false" ht="21.75" hidden="false" customHeight="true" outlineLevel="0" collapsed="false">
      <c r="B6" s="27" t="s">
        <v>169</v>
      </c>
      <c r="C6" s="28" t="s">
        <v>170</v>
      </c>
    </row>
    <row r="7" customFormat="false" ht="21.75" hidden="false" customHeight="true" outlineLevel="0" collapsed="false">
      <c r="B7" s="27" t="s">
        <v>171</v>
      </c>
      <c r="C7" s="28" t="s">
        <v>172</v>
      </c>
    </row>
    <row r="8" customFormat="false" ht="21.75" hidden="false" customHeight="true" outlineLevel="0" collapsed="false">
      <c r="B8" s="27" t="s">
        <v>173</v>
      </c>
      <c r="C8" s="28" t="s">
        <v>174</v>
      </c>
    </row>
    <row r="9" customFormat="false" ht="21.75" hidden="false" customHeight="true" outlineLevel="0" collapsed="false">
      <c r="B9" s="27" t="s">
        <v>175</v>
      </c>
      <c r="C9" s="28" t="s">
        <v>176</v>
      </c>
    </row>
    <row r="10" customFormat="false" ht="21.75" hidden="false" customHeight="true" outlineLevel="0" collapsed="false">
      <c r="B10" s="27" t="s">
        <v>177</v>
      </c>
      <c r="C10" s="28" t="s">
        <v>178</v>
      </c>
    </row>
    <row r="11" customFormat="false" ht="21.75" hidden="false" customHeight="true" outlineLevel="0" collapsed="false">
      <c r="B11" s="27" t="s">
        <v>179</v>
      </c>
      <c r="C11" s="28" t="s">
        <v>180</v>
      </c>
    </row>
    <row r="12" customFormat="false" ht="7.5" hidden="false" customHeight="true" outlineLevel="0" collapsed="false"/>
    <row r="13" customFormat="false" ht="19.5" hidden="false" customHeight="true" outlineLevel="0" collapsed="false">
      <c r="A13" s="26" t="s">
        <v>181</v>
      </c>
      <c r="B13" s="26"/>
      <c r="C13" s="26"/>
    </row>
    <row r="14" customFormat="false" ht="21.75" hidden="false" customHeight="true" outlineLevel="0" collapsed="false">
      <c r="B14" s="27" t="s">
        <v>182</v>
      </c>
      <c r="C14" s="28" t="s">
        <v>183</v>
      </c>
    </row>
    <row r="15" customFormat="false" ht="21.75" hidden="false" customHeight="true" outlineLevel="0" collapsed="false">
      <c r="B15" s="27" t="s">
        <v>1</v>
      </c>
      <c r="C15" s="28" t="s">
        <v>184</v>
      </c>
    </row>
    <row r="16" customFormat="false" ht="21.75" hidden="false" customHeight="true" outlineLevel="0" collapsed="false">
      <c r="B16" s="27" t="s">
        <v>4</v>
      </c>
      <c r="C16" s="28" t="s">
        <v>185</v>
      </c>
    </row>
    <row r="17" customFormat="false" ht="21.75" hidden="false" customHeight="true" outlineLevel="0" collapsed="false">
      <c r="B17" s="27" t="s">
        <v>7</v>
      </c>
      <c r="C17" s="28" t="s">
        <v>186</v>
      </c>
    </row>
    <row r="18" customFormat="false" ht="21.75" hidden="false" customHeight="true" outlineLevel="0" collapsed="false">
      <c r="B18" s="27" t="s">
        <v>8</v>
      </c>
      <c r="C18" s="28" t="s">
        <v>187</v>
      </c>
    </row>
    <row r="19" customFormat="false" ht="7.5" hidden="false" customHeight="true" outlineLevel="0" collapsed="false"/>
    <row r="20" customFormat="false" ht="19.5" hidden="false" customHeight="true" outlineLevel="0" collapsed="false">
      <c r="A20" s="26" t="s">
        <v>188</v>
      </c>
      <c r="B20" s="26"/>
      <c r="C20" s="26"/>
    </row>
    <row r="21" customFormat="false" ht="21.75" hidden="false" customHeight="true" outlineLevel="0" collapsed="false">
      <c r="B21" s="27" t="s">
        <v>62</v>
      </c>
      <c r="C21" s="28" t="s">
        <v>189</v>
      </c>
    </row>
    <row r="22" customFormat="false" ht="21.75" hidden="false" customHeight="true" outlineLevel="0" collapsed="false">
      <c r="B22" s="27" t="s">
        <v>190</v>
      </c>
      <c r="C22" s="28" t="s">
        <v>191</v>
      </c>
    </row>
    <row r="23" customFormat="false" ht="21.75" hidden="false" customHeight="true" outlineLevel="0" collapsed="false">
      <c r="B23" s="27" t="s">
        <v>43</v>
      </c>
      <c r="C23" s="28" t="s">
        <v>192</v>
      </c>
    </row>
    <row r="24" customFormat="false" ht="21.75" hidden="false" customHeight="true" outlineLevel="0" collapsed="false">
      <c r="B24" s="27" t="s">
        <v>24</v>
      </c>
      <c r="C24" s="28" t="s">
        <v>193</v>
      </c>
    </row>
    <row r="25" customFormat="false" ht="21.75" hidden="false" customHeight="true" outlineLevel="0" collapsed="false">
      <c r="B25" s="27" t="s">
        <v>130</v>
      </c>
      <c r="C25" s="28" t="s">
        <v>194</v>
      </c>
    </row>
    <row r="26" customFormat="false" ht="7.5" hidden="false" customHeight="true" outlineLevel="0" collapsed="false"/>
    <row r="27" customFormat="false" ht="19.5" hidden="false" customHeight="true" outlineLevel="0" collapsed="false">
      <c r="A27" s="26" t="s">
        <v>195</v>
      </c>
      <c r="B27" s="26"/>
      <c r="C27" s="26"/>
    </row>
    <row r="28" customFormat="false" ht="21.75" hidden="false" customHeight="true" outlineLevel="0" collapsed="false">
      <c r="B28" s="27" t="s">
        <v>25</v>
      </c>
      <c r="C28" s="28" t="s">
        <v>196</v>
      </c>
    </row>
    <row r="29" customFormat="false" ht="21.75" hidden="false" customHeight="true" outlineLevel="0" collapsed="false">
      <c r="B29" s="27" t="s">
        <v>44</v>
      </c>
      <c r="C29" s="28" t="s">
        <v>197</v>
      </c>
    </row>
    <row r="30" customFormat="false" ht="21.75" hidden="false" customHeight="true" outlineLevel="0" collapsed="false">
      <c r="B30" s="27" t="s">
        <v>54</v>
      </c>
      <c r="C30" s="28" t="s">
        <v>198</v>
      </c>
    </row>
    <row r="31" customFormat="false" ht="21.75" hidden="false" customHeight="true" outlineLevel="0" collapsed="false">
      <c r="B31" s="27" t="s">
        <v>199</v>
      </c>
      <c r="C31" s="28" t="s">
        <v>200</v>
      </c>
    </row>
    <row r="32" customFormat="false" ht="7.5" hidden="false" customHeight="true" outlineLevel="0" collapsed="false"/>
    <row r="33" customFormat="false" ht="19.5" hidden="false" customHeight="true" outlineLevel="0" collapsed="false">
      <c r="A33" s="26" t="s">
        <v>201</v>
      </c>
      <c r="B33" s="26"/>
      <c r="C33" s="26"/>
    </row>
    <row r="34" customFormat="false" ht="21.75" hidden="false" customHeight="true" outlineLevel="0" collapsed="false">
      <c r="B34" s="27" t="s">
        <v>27</v>
      </c>
      <c r="C34" s="28" t="s">
        <v>202</v>
      </c>
    </row>
    <row r="35" customFormat="false" ht="21.75" hidden="false" customHeight="true" outlineLevel="0" collapsed="false">
      <c r="B35" s="27" t="s">
        <v>203</v>
      </c>
      <c r="C35" s="28" t="s">
        <v>204</v>
      </c>
    </row>
    <row r="36" customFormat="false" ht="21.75" hidden="false" customHeight="true" outlineLevel="0" collapsed="false">
      <c r="B36" s="27" t="s">
        <v>46</v>
      </c>
      <c r="C36" s="28" t="s">
        <v>205</v>
      </c>
    </row>
    <row r="37" customFormat="false" ht="7.5" hidden="false" customHeight="true" outlineLevel="0" collapsed="false"/>
    <row r="38" customFormat="false" ht="19.5" hidden="false" customHeight="true" outlineLevel="0" collapsed="false">
      <c r="A38" s="26" t="s">
        <v>206</v>
      </c>
      <c r="B38" s="26"/>
      <c r="C38" s="26"/>
    </row>
    <row r="39" customFormat="false" ht="21.75" hidden="false" customHeight="true" outlineLevel="0" collapsed="false">
      <c r="B39" s="27" t="s">
        <v>207</v>
      </c>
      <c r="C39" s="28" t="s">
        <v>208</v>
      </c>
    </row>
    <row r="40" customFormat="false" ht="21.75" hidden="false" customHeight="true" outlineLevel="0" collapsed="false">
      <c r="B40" s="27" t="s">
        <v>209</v>
      </c>
      <c r="C40" s="28" t="s">
        <v>210</v>
      </c>
    </row>
    <row r="41" customFormat="false" ht="21.75" hidden="false" customHeight="true" outlineLevel="0" collapsed="false">
      <c r="B41" s="27" t="s">
        <v>211</v>
      </c>
      <c r="C41" s="28" t="s">
        <v>212</v>
      </c>
    </row>
    <row r="42" customFormat="false" ht="21.75" hidden="false" customHeight="true" outlineLevel="0" collapsed="false">
      <c r="B42" s="27" t="s">
        <v>213</v>
      </c>
      <c r="C42" s="28" t="s">
        <v>214</v>
      </c>
    </row>
  </sheetData>
  <mergeCells count="7">
    <mergeCell ref="A1:C1"/>
    <mergeCell ref="A4:C4"/>
    <mergeCell ref="A13:C13"/>
    <mergeCell ref="A20:C20"/>
    <mergeCell ref="A27:C27"/>
    <mergeCell ref="A33:C33"/>
    <mergeCell ref="A38:C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2026-04-19T14:17:40Z</dcterms:created>
  <dc:creator>openpyxl</dc:creator>
  <dc:description/>
  <dc:language>en-US</dc:language>
  <cp:lastModifiedBy/>
  <dcterms:modified xsi:type="dcterms:W3CDTF">2026-04-19T14:17:41Z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
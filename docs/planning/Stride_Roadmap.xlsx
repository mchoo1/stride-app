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oadmap" sheetId="2" state="visible" r:id="rId2"/>
    <sheet xmlns:r="http://schemas.openxmlformats.org/officeDocument/2006/relationships" name="Launch Checklist" sheetId="3" state="visible" r:id="rId3"/>
    <sheet xmlns:r="http://schemas.openxmlformats.org/officeDocument/2006/relationships" name="Marketing Plan" sheetId="4" state="visible" r:id="rId4"/>
    <sheet xmlns:r="http://schemas.openxmlformats.org/officeDocument/2006/relationships" name="Partner Pipeline" sheetId="5" state="visible" r:id="rId5"/>
    <sheet xmlns:r="http://schemas.openxmlformats.org/officeDocument/2006/relationships" name="Budget" sheetId="6" state="visible" r:id="rId6"/>
    <sheet xmlns:r="http://schemas.openxmlformats.org/officeDocument/2006/relationships" name="KPI Dashboard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0.0%"/>
    <numFmt numFmtId="165" formatCode="&quot;S$&quot;#,##0"/>
    <numFmt numFmtId="166" formatCode="&quot;S$&quot;#,##0;[RED]&quot;(S$&quot;#,##0\);\-"/>
    <numFmt numFmtId="167" formatCode="#,##0;\-#,##0;\—"/>
    <numFmt numFmtId="168" formatCode="\+0.0%;\-0.0%;\-"/>
    <numFmt numFmtId="169" formatCode="0.0%;\-0.0%;\—"/>
    <numFmt numFmtId="170" formatCode="0.0;\-0.0;\—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33415C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F1B2D"/>
      <sz val="10"/>
    </font>
    <font>
      <name val="Arial"/>
      <charset val="1"/>
      <family val="0"/>
      <color rgb="FF0F1B2D"/>
      <sz val="10"/>
    </font>
    <font>
      <name val="Arial"/>
      <charset val="1"/>
      <family val="0"/>
      <b val="1"/>
      <color rgb="FF0F1B2D"/>
      <sz val="12"/>
    </font>
    <font>
      <name val="Arial"/>
      <charset val="1"/>
      <family val="0"/>
      <b val="1"/>
      <color rgb="FF1E7F5C"/>
      <sz val="10"/>
    </font>
    <font>
      <name val="Arial"/>
      <charset val="1"/>
      <family val="0"/>
      <b val="1"/>
      <color rgb="FF0F1B2D"/>
      <sz val="11"/>
    </font>
    <font>
      <name val="Arial"/>
      <charset val="1"/>
      <family val="0"/>
      <i val="1"/>
      <color rgb="FF33415C"/>
      <sz val="10"/>
    </font>
    <font>
      <name val="Arial"/>
      <charset val="1"/>
      <family val="0"/>
      <i val="1"/>
      <color rgb="FF1E7F5C"/>
      <sz val="11"/>
    </font>
    <font>
      <name val="Calibri"/>
      <b val="1"/>
      <color rgb="FF1E7F5C"/>
      <sz val="11"/>
    </font>
    <font>
      <name val="Calibri"/>
      <b val="1"/>
      <color rgb="FF2E6FB8"/>
      <sz val="11"/>
    </font>
    <font>
      <name val="Calibri"/>
      <b val="1"/>
      <color rgb="FFC98A2E"/>
      <sz val="11"/>
    </font>
    <font>
      <name val="Calibri"/>
      <b val="1"/>
      <color rgb="FF7A4BC2"/>
      <sz val="11"/>
    </font>
  </fonts>
  <fills count="13">
    <fill>
      <patternFill/>
    </fill>
    <fill>
      <patternFill patternType="gray125"/>
    </fill>
    <fill>
      <patternFill patternType="solid">
        <fgColor rgb="FF0F1B2D"/>
        <bgColor rgb="FF000000"/>
      </patternFill>
    </fill>
    <fill>
      <patternFill patternType="solid">
        <fgColor rgb="FF1E7F5C"/>
        <bgColor rgb="FF1F8A3D"/>
      </patternFill>
    </fill>
    <fill>
      <patternFill patternType="solid">
        <fgColor rgb="FFF1F4F9"/>
        <bgColor rgb="FFEEF1F6"/>
      </patternFill>
    </fill>
    <fill>
      <patternFill patternType="solid">
        <fgColor rgb="FFFBFCFE"/>
        <bgColor rgb="FFFFFFFF"/>
      </patternFill>
    </fill>
    <fill>
      <patternFill patternType="solid">
        <fgColor rgb="FFE5F6EC"/>
        <bgColor rgb="FFEAF7F0"/>
      </patternFill>
    </fill>
    <fill>
      <patternFill patternType="solid">
        <fgColor rgb="FFEAF7F0"/>
        <bgColor rgb="FFE5F6EC"/>
      </patternFill>
    </fill>
    <fill>
      <patternFill patternType="solid">
        <fgColor rgb="FFFFF8EC"/>
        <bgColor rgb="FFFBFCFE"/>
      </patternFill>
    </fill>
    <fill>
      <patternFill patternType="solid">
        <fgColor rgb="FFEAF3EE"/>
        <bgColor rgb="FFEAF3EE"/>
      </patternFill>
    </fill>
    <fill>
      <patternFill patternType="solid">
        <fgColor rgb="FFE6EEF7"/>
        <bgColor rgb="FFE6EEF7"/>
      </patternFill>
    </fill>
    <fill>
      <patternFill patternType="solid">
        <fgColor rgb="FFF7EFE0"/>
        <bgColor rgb="FFF7EFE0"/>
      </patternFill>
    </fill>
    <fill>
      <patternFill patternType="solid">
        <fgColor rgb="FFEFE8F7"/>
        <bgColor rgb="FFEFE8F7"/>
      </patternFill>
    </fill>
  </fills>
  <borders count="6">
    <border>
      <left/>
      <right/>
      <top/>
      <bottom/>
      <diagonal/>
    </border>
    <border>
      <left style="thin">
        <color rgb="FFE5E9F2"/>
      </left>
      <right style="thin">
        <color rgb="FFE5E9F2"/>
      </right>
      <top style="thin">
        <color rgb="FFE5E9F2"/>
      </top>
      <bottom style="thin">
        <color rgb="FFE5E9F2"/>
      </bottom>
      <diagonal/>
    </border>
    <border>
      <left style="thin">
        <color rgb="FFE5E9F2"/>
      </left>
      <right/>
      <top style="thin">
        <color rgb="FFE5E9F2"/>
      </top>
      <bottom style="thin">
        <color rgb="FFE5E9F2"/>
      </bottom>
      <diagonal/>
    </border>
    <border>
      <left/>
      <right/>
      <top style="thin">
        <color rgb="FFE5E9F2"/>
      </top>
      <bottom/>
      <diagonal/>
    </border>
    <border>
      <left/>
      <right/>
      <top style="thin">
        <color rgb="FFE5E9F2"/>
      </top>
      <bottom style="thin">
        <color rgb="FFE5E9F2"/>
      </bottom>
      <diagonal/>
    </border>
    <border>
      <left style="thin">
        <color rgb="FFE5E9F2"/>
      </left>
      <right style="thin">
        <color rgb="FFE5E9F2"/>
      </right>
      <top style="thin">
        <color rgb="FFE5E9F2"/>
      </top>
      <bottom style="thin">
        <color rgb="FFE5E9F2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top" wrapText="1"/>
    </xf>
    <xf numFmtId="3" fontId="8" fillId="0" borderId="1" applyAlignment="1" pivotButton="0" quotePrefix="0" xfId="0">
      <alignment horizontal="right" vertical="bottom"/>
    </xf>
    <xf numFmtId="0" fontId="8" fillId="0" borderId="1" applyAlignment="1" pivotButton="0" quotePrefix="0" xfId="0">
      <alignment horizontal="center" vertical="bottom"/>
    </xf>
    <xf numFmtId="0" fontId="7" fillId="5" borderId="1" applyAlignment="1" pivotButton="0" quotePrefix="0" xfId="0">
      <alignment horizontal="left" vertical="top" wrapText="1"/>
    </xf>
    <xf numFmtId="3" fontId="8" fillId="5" borderId="1" applyAlignment="1" pivotButton="0" quotePrefix="0" xfId="0">
      <alignment horizontal="right" vertical="bottom"/>
    </xf>
    <xf numFmtId="0" fontId="8" fillId="5" borderId="1" applyAlignment="1" pivotButton="0" quotePrefix="0" xfId="0">
      <alignment horizontal="center" vertical="bottom"/>
    </xf>
    <xf numFmtId="165" fontId="11" fillId="6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center" wrapText="1" indent="1"/>
    </xf>
    <xf numFmtId="166" fontId="8" fillId="0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 wrapText="1" indent="1"/>
    </xf>
    <xf numFmtId="166" fontId="7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 wrapText="1" indent="1"/>
    </xf>
    <xf numFmtId="166" fontId="7" fillId="8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bottom"/>
    </xf>
    <xf numFmtId="167" fontId="8" fillId="0" borderId="1" applyAlignment="1" pivotButton="0" quotePrefix="0" xfId="0">
      <alignment horizontal="right" vertical="bottom"/>
    </xf>
    <xf numFmtId="168" fontId="10" fillId="0" borderId="1" applyAlignment="1" pivotButton="0" quotePrefix="0" xfId="0">
      <alignment horizontal="right" vertical="bottom"/>
    </xf>
    <xf numFmtId="169" fontId="8" fillId="5" borderId="1" applyAlignment="1" pivotButton="0" quotePrefix="0" xfId="0">
      <alignment horizontal="right" vertical="bottom"/>
    </xf>
    <xf numFmtId="168" fontId="10" fillId="5" borderId="1" applyAlignment="1" pivotButton="0" quotePrefix="0" xfId="0">
      <alignment horizontal="right" vertical="bottom"/>
    </xf>
    <xf numFmtId="169" fontId="8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right" vertical="bottom"/>
    </xf>
    <xf numFmtId="0" fontId="10" fillId="5" borderId="1" applyAlignment="1" pivotButton="0" quotePrefix="0" xfId="0">
      <alignment horizontal="right" vertical="bottom"/>
    </xf>
    <xf numFmtId="170" fontId="8" fillId="5" borderId="1" applyAlignment="1" pivotButton="0" quotePrefix="0" xfId="0">
      <alignment horizontal="right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14" fillId="9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15" fillId="1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16" fillId="11" borderId="1" applyAlignment="1" pivotButton="0" quotePrefix="0" xfId="0">
      <alignment horizontal="left" vertical="top" wrapText="1"/>
    </xf>
    <xf numFmtId="0" fontId="17" fillId="12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top" wrapText="1"/>
    </xf>
    <xf numFmtId="0" fontId="0" fillId="0" borderId="4" pivotButton="0" quotePrefix="0" xfId="0"/>
    <xf numFmtId="0" fontId="14" fillId="9" borderId="5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/>
    </xf>
    <xf numFmtId="0" fontId="16" fillId="11" borderId="5" applyAlignment="1" pivotButton="0" quotePrefix="0" xfId="0">
      <alignment horizontal="left" vertical="center" wrapText="1"/>
    </xf>
    <xf numFmtId="0" fontId="17" fillId="12" borderId="5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top" wrapText="1"/>
    </xf>
    <xf numFmtId="3" fontId="8" fillId="0" borderId="1" applyAlignment="1" pivotButton="0" quotePrefix="0" xfId="0">
      <alignment horizontal="right" vertical="bottom"/>
    </xf>
    <xf numFmtId="0" fontId="8" fillId="0" borderId="1" applyAlignment="1" pivotButton="0" quotePrefix="0" xfId="0">
      <alignment horizontal="center" vertical="bottom"/>
    </xf>
    <xf numFmtId="0" fontId="7" fillId="5" borderId="1" applyAlignment="1" pivotButton="0" quotePrefix="0" xfId="0">
      <alignment horizontal="left" vertical="top" wrapText="1"/>
    </xf>
    <xf numFmtId="3" fontId="8" fillId="5" borderId="1" applyAlignment="1" pivotButton="0" quotePrefix="0" xfId="0">
      <alignment horizontal="right" vertical="bottom"/>
    </xf>
    <xf numFmtId="0" fontId="8" fillId="5" borderId="1" applyAlignment="1" pivotButton="0" quotePrefix="0" xfId="0">
      <alignment horizontal="center" vertical="bottom"/>
    </xf>
    <xf numFmtId="165" fontId="11" fillId="6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center" wrapText="1" indent="1"/>
    </xf>
    <xf numFmtId="166" fontId="8" fillId="0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 wrapText="1" indent="1"/>
    </xf>
    <xf numFmtId="166" fontId="7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 wrapText="1" indent="1"/>
    </xf>
    <xf numFmtId="166" fontId="7" fillId="8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bottom"/>
    </xf>
    <xf numFmtId="167" fontId="8" fillId="0" borderId="1" applyAlignment="1" pivotButton="0" quotePrefix="0" xfId="0">
      <alignment horizontal="right" vertical="bottom"/>
    </xf>
    <xf numFmtId="168" fontId="10" fillId="0" borderId="1" applyAlignment="1" pivotButton="0" quotePrefix="0" xfId="0">
      <alignment horizontal="right" vertical="bottom"/>
    </xf>
    <xf numFmtId="169" fontId="8" fillId="5" borderId="1" applyAlignment="1" pivotButton="0" quotePrefix="0" xfId="0">
      <alignment horizontal="right" vertical="bottom"/>
    </xf>
    <xf numFmtId="168" fontId="10" fillId="5" borderId="1" applyAlignment="1" pivotButton="0" quotePrefix="0" xfId="0">
      <alignment horizontal="right" vertical="bottom"/>
    </xf>
    <xf numFmtId="169" fontId="8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right" vertical="bottom"/>
    </xf>
    <xf numFmtId="0" fontId="10" fillId="5" borderId="1" applyAlignment="1" pivotButton="0" quotePrefix="0" xfId="0">
      <alignment horizontal="right" vertical="bottom"/>
    </xf>
    <xf numFmtId="170" fontId="8" fillId="5" borderId="1" applyAlignment="1" pivotButton="0" quotePrefix="0" xfId="0">
      <alignment horizontal="right" vertical="bottom"/>
    </xf>
    <xf numFmtId="0" fontId="13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name val="Arial"/>
        <charset val="1"/>
        <family val="0"/>
        <b val="1"/>
        <color rgb="FF9A6300"/>
        <sz val="10"/>
      </font>
      <fill>
        <patternFill>
          <bgColor rgb="FFFDEBCB"/>
        </patternFill>
      </fill>
    </dxf>
    <dxf>
      <font>
        <name val="Arial"/>
        <charset val="1"/>
        <family val="0"/>
        <b val="1"/>
        <color rgb="FF4B5A75"/>
        <sz val="10"/>
      </font>
      <fill>
        <patternFill>
          <bgColor rgb="FFEEF1F6"/>
        </patternFill>
      </fill>
    </dxf>
    <dxf>
      <font>
        <name val="Arial"/>
        <charset val="1"/>
        <family val="0"/>
        <b val="1"/>
        <color rgb="FF1F8A3D"/>
        <sz val="10"/>
      </font>
      <fill>
        <patternFill>
          <bgColor rgb="FFE5F6EC"/>
        </patternFill>
      </fill>
    </dxf>
    <dxf>
      <font>
        <name val="Arial"/>
        <charset val="1"/>
        <family val="0"/>
        <b val="1"/>
        <color rgb="FFA23722"/>
        <sz val="10"/>
      </font>
      <fill>
        <patternFill>
          <bgColor rgb="FFFBE3DC"/>
        </patternFill>
      </fill>
    </dxf>
    <dxf>
      <font>
        <name val="Arial"/>
        <charset val="1"/>
        <family val="0"/>
        <b val="1"/>
        <color rgb="FF1E4FB8"/>
        <sz val="10"/>
      </font>
      <fill>
        <patternFill>
          <bgColor rgb="FFE1ECF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300"/>
      <rgbColor rgb="FF800080"/>
      <rgbColor rgb="FF1E7F5C"/>
      <rgbColor rgb="FFEEF1F6"/>
      <rgbColor rgb="FF808080"/>
      <rgbColor rgb="FF9999FF"/>
      <rgbColor rgb="FF993366"/>
      <rgbColor rgb="FFFFF8EC"/>
      <rgbColor rgb="FFE5F6EC"/>
      <rgbColor rgb="FF660066"/>
      <rgbColor rgb="FFFF8080"/>
      <rgbColor rgb="FF1E4FB8"/>
      <rgbColor rgb="FFE5E9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7F0"/>
      <rgbColor rgb="FFE1ECFE"/>
      <rgbColor rgb="FFFDEBCB"/>
      <rgbColor rgb="FFF1F4F9"/>
      <rgbColor rgb="FFFBFCFE"/>
      <rgbColor rgb="FFCC99FF"/>
      <rgbColor rgb="FFFBE3DC"/>
      <rgbColor rgb="FF3366FF"/>
      <rgbColor rgb="FF33CCCC"/>
      <rgbColor rgb="FF99CC00"/>
      <rgbColor rgb="FFFFCC00"/>
      <rgbColor rgb="FFFF9900"/>
      <rgbColor rgb="FFFF6600"/>
      <rgbColor rgb="FF4B5A75"/>
      <rgbColor rgb="FF969696"/>
      <rgbColor rgb="FF003366"/>
      <rgbColor rgb="FF1F8A3D"/>
      <rgbColor rgb="FF0F1B2D"/>
      <rgbColor rgb="FF333300"/>
      <rgbColor rgb="FFA23722"/>
      <rgbColor rgb="FF993366"/>
      <rgbColor rgb="FF333399"/>
      <rgbColor rgb="FF33415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47" min="1" max="1"/>
    <col width="60" customWidth="1" style="47" min="2" max="2"/>
    <col width="14" customWidth="1" style="47" min="3" max="4"/>
  </cols>
  <sheetData>
    <row r="1" ht="30" customHeight="1" s="48">
      <c r="A1" s="49" t="inlineStr">
        <is>
          <t>Stride — Roadmap &amp; Launch Plan</t>
        </is>
      </c>
    </row>
    <row r="2" ht="21.75" customHeight="1" s="48">
      <c r="A2" s="50" t="inlineStr">
        <is>
          <t>Singapore-first one-stop health app. Track. Monitor. Eat Smart. Move Nearby.   |   Prepared April 2026</t>
        </is>
      </c>
    </row>
    <row r="3"/>
    <row r="4" ht="31.5" customHeight="1" s="48">
      <c r="A4" s="51" t="inlineStr">
        <is>
          <t>Field</t>
        </is>
      </c>
      <c r="B4" s="51" t="inlineStr">
        <is>
          <t>Value</t>
        </is>
      </c>
      <c r="C4" s="51" t="n"/>
      <c r="D4" s="51" t="n"/>
    </row>
    <row r="5" ht="21.75" customHeight="1" s="48">
      <c r="A5" s="52" t="inlineStr">
        <is>
          <t>Owner</t>
        </is>
      </c>
      <c r="B5" s="53" t="inlineStr">
        <is>
          <t>Ming</t>
        </is>
      </c>
    </row>
    <row r="6" ht="21.75" customHeight="1" s="48">
      <c r="A6" s="52" t="inlineStr">
        <is>
          <t>Stage today</t>
        </is>
      </c>
      <c r="B6" s="53" t="inlineStr">
        <is>
          <t>MVP build — Phase 1 (Q2 2026)</t>
        </is>
      </c>
    </row>
    <row r="7" ht="21.75" customHeight="1" s="48">
      <c r="A7" s="52" t="inlineStr">
        <is>
          <t>Launch market</t>
        </is>
      </c>
      <c r="B7" s="53" t="inlineStr">
        <is>
          <t>Singapore (sole market through 2026)</t>
        </is>
      </c>
    </row>
    <row r="8" ht="21.75" customHeight="1" s="48">
      <c r="A8" s="52" t="inlineStr">
        <is>
          <t>Product spec</t>
        </is>
      </c>
      <c r="B8" s="53" t="inlineStr">
        <is>
          <t>v2.0 simplified (April 2026): 4 pillars, 5-tab nav</t>
        </is>
      </c>
    </row>
    <row r="9" ht="21.75" customHeight="1" s="48">
      <c r="A9" s="52" t="inlineStr">
        <is>
          <t>Pillars</t>
        </is>
      </c>
      <c r="B9" s="53" t="inlineStr">
        <is>
          <t>1) Track  2) Monitor  3) Eat Smart  4) Move Nearby</t>
        </is>
      </c>
    </row>
    <row r="10" ht="21.75" customHeight="1" s="48">
      <c r="A10" s="52" t="inlineStr">
        <is>
          <t>Data moat</t>
        </is>
      </c>
      <c r="B10" s="53" t="inlineStr">
        <is>
          <t>352 verified SG SKUs (7-Eleven + NTUC FairPrice); growing to 3,500</t>
        </is>
      </c>
    </row>
    <row r="11" ht="21.75" customHeight="1" s="48">
      <c r="A11" s="52" t="inlineStr">
        <is>
          <t>Monetisation</t>
        </is>
      </c>
      <c r="B11" s="53" t="inlineStr">
        <is>
          <t>Freemium: Stride+ S$6.90/mo  |  Provider listings  |  Affiliate  |  Corporate</t>
        </is>
      </c>
    </row>
    <row r="12" ht="21.75" customHeight="1" s="48">
      <c r="A12" s="52" t="inlineStr">
        <is>
          <t>North-star metric</t>
        </is>
      </c>
      <c r="B12" s="53" t="inlineStr">
        <is>
          <t>Weekly active users logging ≥3 days/week</t>
        </is>
      </c>
    </row>
    <row r="13" ht="21.75" customHeight="1" s="48">
      <c r="A13" s="52" t="inlineStr">
        <is>
          <t>Public launch target</t>
        </is>
      </c>
      <c r="B13" s="53" t="inlineStr">
        <is>
          <t>Q3 2026 (App Store + Play Store, SG)</t>
        </is>
      </c>
    </row>
    <row r="14" ht="21.75" customHeight="1" s="48">
      <c r="A14" s="52" t="inlineStr">
        <is>
          <t>Year-1 MAU goal</t>
        </is>
      </c>
      <c r="B14" s="53" t="inlineStr">
        <is>
          <t>15,000 by end Q1 2027</t>
        </is>
      </c>
    </row>
    <row r="15"/>
    <row r="16"/>
    <row r="17" ht="31.5" customHeight="1" s="48">
      <c r="A17" s="51" t="inlineStr">
        <is>
          <t>Phase</t>
        </is>
      </c>
      <c r="B17" s="51" t="inlineStr">
        <is>
          <t>Theme</t>
        </is>
      </c>
      <c r="C17" s="51" t="inlineStr">
        <is>
          <t>Quarter</t>
        </is>
      </c>
      <c r="D17" s="51" t="inlineStr">
        <is>
          <t>Go/no-go gate</t>
        </is>
      </c>
    </row>
    <row r="18" ht="35.05" customHeight="1" s="48">
      <c r="A18" s="54" t="inlineStr">
        <is>
          <t>Phase 1</t>
        </is>
      </c>
      <c r="B18" s="55" t="inlineStr">
        <is>
          <t>Product Launch</t>
        </is>
      </c>
      <c r="C18" s="55" t="inlineStr">
        <is>
          <t>Q2 2026</t>
        </is>
      </c>
      <c r="D18" s="55" t="inlineStr">
        <is>
          <t>≥70% of beta testers reach D3 retention</t>
        </is>
      </c>
    </row>
    <row r="19" ht="23.85" customHeight="1" s="48">
      <c r="A19" s="56" t="inlineStr">
        <is>
          <t>Phase 2</t>
        </is>
      </c>
      <c r="B19" s="57" t="inlineStr">
        <is>
          <t>App Enhancement &amp; Testing</t>
        </is>
      </c>
      <c r="C19" s="57" t="inlineStr">
        <is>
          <t>Q3 2026</t>
        </is>
      </c>
      <c r="D19" s="57" t="inlineStr">
        <is>
          <t>D30 retention ≥20%</t>
        </is>
      </c>
    </row>
    <row r="20" ht="35.05" customHeight="1" s="48">
      <c r="A20" s="58" t="inlineStr">
        <is>
          <t>Phase 3</t>
        </is>
      </c>
      <c r="B20" s="55" t="inlineStr">
        <is>
          <t>Marketing</t>
        </is>
      </c>
      <c r="C20" s="55" t="inlineStr">
        <is>
          <t>Q4 2026</t>
        </is>
      </c>
      <c r="D20" s="55" t="inlineStr">
        <is>
          <t>5,000 MAU &amp; ≥3% Stride+ conversion</t>
        </is>
      </c>
    </row>
    <row r="21" ht="35.05" customHeight="1" s="48">
      <c r="A21" s="59" t="inlineStr">
        <is>
          <t>Phase 4</t>
        </is>
      </c>
      <c r="B21" s="57" t="inlineStr">
        <is>
          <t>User &amp; Partner Onboarding</t>
        </is>
      </c>
      <c r="C21" s="57" t="inlineStr">
        <is>
          <t>Q1 2027</t>
        </is>
      </c>
      <c r="D21" s="57" t="inlineStr">
        <is>
          <t>≥1 anchor partner per category live</t>
        </is>
      </c>
    </row>
    <row r="22"/>
    <row r="23"/>
    <row r="24" ht="15" customHeight="1" s="48">
      <c r="A24" s="60" t="inlineStr">
        <is>
          <t>Tabs in this workbook</t>
        </is>
      </c>
    </row>
    <row r="25" ht="31.5" customHeight="1" s="48">
      <c r="A25" s="51" t="inlineStr">
        <is>
          <t>Tab</t>
        </is>
      </c>
      <c r="B25" s="51" t="inlineStr">
        <is>
          <t>Purpose</t>
        </is>
      </c>
      <c r="C25" s="51" t="n"/>
      <c r="D25" s="51" t="n"/>
    </row>
    <row r="26" ht="27.75" customHeight="1" s="48">
      <c r="A26" s="61" t="inlineStr">
        <is>
          <t>Roadmap</t>
        </is>
      </c>
      <c r="B26" s="62" t="inlineStr">
        <is>
          <t>Detailed workstream plan across the 4 phases (objective, owner, KPI, status)</t>
        </is>
      </c>
      <c r="C26" s="63" t="n"/>
      <c r="D26" s="63" t="n"/>
    </row>
    <row r="27" ht="27.75" customHeight="1" s="48">
      <c r="A27" s="61" t="inlineStr">
        <is>
          <t>Launch Checklist</t>
        </is>
      </c>
      <c r="B27" s="62" t="inlineStr">
        <is>
          <t>Granular pre-launch checklist with status &amp; owner</t>
        </is>
      </c>
      <c r="C27" s="63" t="n"/>
      <c r="D27" s="63" t="n"/>
    </row>
    <row r="28" ht="27.75" customHeight="1" s="48">
      <c r="A28" s="61" t="inlineStr">
        <is>
          <t>Marketing Plan</t>
        </is>
      </c>
      <c r="B28" s="62" t="inlineStr">
        <is>
          <t>Channel, hypothesis, budget, success metric, lead/owner</t>
        </is>
      </c>
      <c r="C28" s="63" t="n"/>
      <c r="D28" s="63" t="n"/>
    </row>
    <row r="29" ht="27.75" customHeight="1" s="48">
      <c r="A29" s="61" t="inlineStr">
        <is>
          <t>Partner Pipeline</t>
        </is>
      </c>
      <c r="B29" s="62" t="inlineStr">
        <is>
          <t>Anchor + self-serve partners; stage, value prop, status</t>
        </is>
      </c>
      <c r="C29" s="63" t="n"/>
      <c r="D29" s="63" t="n"/>
    </row>
    <row r="30" ht="27.75" customHeight="1" s="48">
      <c r="A30" s="61" t="inlineStr">
        <is>
          <t>Budget</t>
        </is>
      </c>
      <c r="B30" s="62" t="inlineStr">
        <is>
          <t>Monthly cost &amp; revenue ramp by phase with totals</t>
        </is>
      </c>
      <c r="C30" s="63" t="n"/>
      <c r="D30" s="63" t="n"/>
    </row>
    <row r="31" ht="27.75" customHeight="1" s="48">
      <c r="A31" s="61" t="inlineStr">
        <is>
          <t>KPI Dashboard</t>
        </is>
      </c>
      <c r="B31" s="62" t="inlineStr">
        <is>
          <t>Targets across the 4 phases with formulas</t>
        </is>
      </c>
      <c r="C31" s="63" t="n"/>
      <c r="D31" s="63" t="n"/>
    </row>
  </sheetData>
  <mergeCells count="8">
    <mergeCell ref="A1:D1"/>
    <mergeCell ref="B28:D28"/>
    <mergeCell ref="B31:D31"/>
    <mergeCell ref="B26:D26"/>
    <mergeCell ref="B27:D27"/>
    <mergeCell ref="B30:D30"/>
    <mergeCell ref="A2:D2"/>
    <mergeCell ref="B29:D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7" min="1" max="1"/>
    <col width="22" customWidth="1" style="47" min="2" max="2"/>
    <col width="36" customWidth="1" style="47" min="3" max="3"/>
    <col width="50" customWidth="1" style="47" min="4" max="4"/>
    <col width="16" customWidth="1" style="47" min="5" max="5"/>
    <col width="24" customWidth="1" style="47" min="6" max="6"/>
    <col width="14" customWidth="1" style="47" min="7" max="7"/>
  </cols>
  <sheetData>
    <row r="1" ht="30" customHeight="1" s="48">
      <c r="A1" s="49" t="inlineStr">
        <is>
          <t>Stride Roadmap — 4 Phases x Workstreams</t>
        </is>
      </c>
    </row>
    <row r="2" ht="21.75" customHeight="1" s="48">
      <c r="A2" s="50" t="inlineStr">
        <is>
          <t>Each row is a workstream-level deliverable. Status drives the dashboard.</t>
        </is>
      </c>
    </row>
    <row r="4" ht="31.5" customHeight="1" s="48">
      <c r="A4" s="51" t="inlineStr">
        <is>
          <t>Phase</t>
        </is>
      </c>
      <c r="B4" s="51" t="inlineStr">
        <is>
          <t>Workstream</t>
        </is>
      </c>
      <c r="C4" s="51" t="inlineStr">
        <is>
          <t>Objective</t>
        </is>
      </c>
      <c r="D4" s="51" t="inlineStr">
        <is>
          <t>Key activities</t>
        </is>
      </c>
      <c r="E4" s="51" t="inlineStr">
        <is>
          <t>Owner</t>
        </is>
      </c>
      <c r="F4" s="51" t="inlineStr">
        <is>
          <t>KPI / success</t>
        </is>
      </c>
      <c r="G4" s="51" t="inlineStr">
        <is>
          <t>Status</t>
        </is>
      </c>
    </row>
    <row r="5" ht="49.5" customHeight="1" s="48">
      <c r="A5" s="64" t="inlineStr">
        <is>
          <t>Phase 1
Q2 2026</t>
        </is>
      </c>
      <c r="B5" s="55" t="inlineStr">
        <is>
          <t>Product</t>
        </is>
      </c>
      <c r="C5" s="55" t="inlineStr">
        <is>
          <t>Lock v2.0 spec &amp; ship MVP</t>
        </is>
      </c>
      <c r="D5" s="55" t="inlineStr">
        <is>
          <t>Build Home/Scan/Eat/Move/Me. Strip community, water, streak. Wire Apple Health + Fitbit sync. Onboarding 3-screen flow.</t>
        </is>
      </c>
      <c r="E5" s="55" t="inlineStr">
        <is>
          <t>Ming + dev</t>
        </is>
      </c>
      <c r="F5" s="55" t="inlineStr">
        <is>
          <t>MVP feature-complete by week 8</t>
        </is>
      </c>
      <c r="G5" s="65" t="inlineStr">
        <is>
          <t>In progress</t>
        </is>
      </c>
    </row>
    <row r="6" ht="49.5" customHeight="1" s="48">
      <c r="A6" s="64" t="inlineStr">
        <is>
          <t>Phase 1
Q2 2026</t>
        </is>
      </c>
      <c r="B6" s="57" t="inlineStr">
        <is>
          <t>Data</t>
        </is>
      </c>
      <c r="C6" s="57" t="inlineStr">
        <is>
          <t>Seed SG nutrition DB</t>
        </is>
      </c>
      <c r="D6" s="57" t="inlineStr">
        <is>
          <t>Load 352-SKU CSV; structure schema for community-add + confidence score; nightly verification job.</t>
        </is>
      </c>
      <c r="E6" s="57" t="inlineStr">
        <is>
          <t>Ming</t>
        </is>
      </c>
      <c r="F6" s="57" t="inlineStr">
        <is>
          <t>352 SKUs live in app</t>
        </is>
      </c>
      <c r="G6" s="66" t="inlineStr">
        <is>
          <t>In progress</t>
        </is>
      </c>
    </row>
    <row r="7" ht="49.5" customHeight="1" s="48">
      <c r="A7" s="64" t="inlineStr">
        <is>
          <t>Phase 1
Q2 2026</t>
        </is>
      </c>
      <c r="B7" s="55" t="inlineStr">
        <is>
          <t>QA &amp; Testing</t>
        </is>
      </c>
      <c r="C7" s="55" t="inlineStr">
        <is>
          <t>Internal dogfood + closed beta</t>
        </is>
      </c>
      <c r="D7" s="55" t="inlineStr">
        <is>
          <t>10–15 internal users for 2-week dogfood; bug bash; Crashlytics ≥99% crash-free; cold start &lt;1.5s.</t>
        </is>
      </c>
      <c r="E7" s="55" t="inlineStr">
        <is>
          <t>Ming</t>
        </is>
      </c>
      <c r="F7" s="55" t="inlineStr">
        <is>
          <t>Closed TestFlight + Play beta open with 150 users</t>
        </is>
      </c>
      <c r="G7" s="65" t="inlineStr">
        <is>
          <t>Planned</t>
        </is>
      </c>
    </row>
    <row r="8" ht="49.5" customHeight="1" s="48">
      <c r="A8" s="64" t="inlineStr">
        <is>
          <t>Phase 1
Q2 2026</t>
        </is>
      </c>
      <c r="B8" s="57" t="inlineStr">
        <is>
          <t>Compliance</t>
        </is>
      </c>
      <c r="C8" s="57" t="inlineStr">
        <is>
          <t>PDPA-aligned data handling</t>
        </is>
      </c>
      <c r="D8" s="57" t="inlineStr">
        <is>
          <t>Privacy policy, T&amp;Cs, data export &amp; delete flow, health permissions explainer screens.</t>
        </is>
      </c>
      <c r="E8" s="57" t="inlineStr">
        <is>
          <t>Ming + legal</t>
        </is>
      </c>
      <c r="F8" s="57" t="inlineStr">
        <is>
          <t>PDPA review complete</t>
        </is>
      </c>
      <c r="G8" s="66" t="inlineStr">
        <is>
          <t>Planned</t>
        </is>
      </c>
    </row>
    <row r="9" ht="49.5" customHeight="1" s="48">
      <c r="A9" s="64" t="inlineStr">
        <is>
          <t>Phase 1
Q2 2026</t>
        </is>
      </c>
      <c r="B9" s="55" t="inlineStr">
        <is>
          <t>Launch ops</t>
        </is>
      </c>
      <c r="C9" s="55" t="inlineStr">
        <is>
          <t>App Store + Play submission</t>
        </is>
      </c>
      <c r="D9" s="55" t="inlineStr">
        <is>
          <t>App Store Connect setup, screenshots (5 SG-themed), keyword set, age rating, App Privacy form.</t>
        </is>
      </c>
      <c r="E9" s="55" t="inlineStr">
        <is>
          <t>Ming</t>
        </is>
      </c>
      <c r="F9" s="55" t="inlineStr">
        <is>
          <t>App Store + Play approval received</t>
        </is>
      </c>
      <c r="G9" s="65" t="inlineStr">
        <is>
          <t>Planned</t>
        </is>
      </c>
    </row>
    <row r="10" ht="49.5" customHeight="1" s="48">
      <c r="A10" s="67" t="inlineStr">
        <is>
          <t>Phase 2
Q3 2026</t>
        </is>
      </c>
      <c r="B10" s="57" t="inlineStr">
        <is>
          <t>AI scan tuning</t>
        </is>
      </c>
      <c r="C10" s="57" t="inlineStr">
        <is>
          <t>Improve photo accuracy on SG dishes</t>
        </is>
      </c>
      <c r="D10" s="57" t="inlineStr">
        <is>
          <t>Curate 500 SG dish images; eval set; targeted retraining/few-shot; tap-to-correct flow that improves model.</t>
        </is>
      </c>
      <c r="E10" s="57" t="inlineStr">
        <is>
          <t>Ming</t>
        </is>
      </c>
      <c r="F10" s="57" t="inlineStr">
        <is>
          <t>Top-3 accuracy ≥80%</t>
        </is>
      </c>
      <c r="G10" s="66" t="inlineStr">
        <is>
          <t>Planned</t>
        </is>
      </c>
    </row>
    <row r="11" ht="49.5" customHeight="1" s="48">
      <c r="A11" s="67" t="inlineStr">
        <is>
          <t>Phase 2
Q3 2026</t>
        </is>
      </c>
      <c r="B11" s="55" t="inlineStr">
        <is>
          <t>Wearables</t>
        </is>
      </c>
      <c r="C11" s="55" t="inlineStr">
        <is>
          <t>Add Garmin + Google Fit</t>
        </is>
      </c>
      <c r="D11" s="55" t="inlineStr">
        <is>
          <t>Garmin Connect IQ + Google Fit REST API; resolve duplicate-step issues for dual-device users.</t>
        </is>
      </c>
      <c r="E11" s="55" t="inlineStr">
        <is>
          <t>Ming + dev</t>
        </is>
      </c>
      <c r="F11" s="55" t="inlineStr">
        <is>
          <t>Garmin &amp; Google Fit live in app</t>
        </is>
      </c>
      <c r="G11" s="65" t="inlineStr">
        <is>
          <t>Planned</t>
        </is>
      </c>
    </row>
    <row r="12" ht="49.5" customHeight="1" s="48">
      <c r="A12" s="67" t="inlineStr">
        <is>
          <t>Phase 2
Q3 2026</t>
        </is>
      </c>
      <c r="B12" s="57" t="inlineStr">
        <is>
          <t>Database</t>
        </is>
      </c>
      <c r="C12" s="57" t="inlineStr">
        <is>
          <t>Expand SG DB to 1,000 SKUs</t>
        </is>
      </c>
      <c r="D12" s="57" t="inlineStr">
        <is>
          <t>Add Cold Storage, Cheers, FairPrice Xtra; community-add with confidence score; partner CSV pipeline.</t>
        </is>
      </c>
      <c r="E12" s="57" t="inlineStr">
        <is>
          <t>Ming</t>
        </is>
      </c>
      <c r="F12" s="57" t="inlineStr">
        <is>
          <t>≥1,000 SKUs verified</t>
        </is>
      </c>
      <c r="G12" s="66" t="inlineStr">
        <is>
          <t>Planned</t>
        </is>
      </c>
    </row>
    <row r="13" ht="49.5" customHeight="1" s="48">
      <c r="A13" s="67" t="inlineStr">
        <is>
          <t>Phase 2
Q3 2026</t>
        </is>
      </c>
      <c r="B13" s="55" t="inlineStr">
        <is>
          <t>Reliability</t>
        </is>
      </c>
      <c r="C13" s="55" t="inlineStr">
        <is>
          <t>Production hardening</t>
        </is>
      </c>
      <c r="D13" s="55" t="inlineStr">
        <is>
          <t>Crash-free ≥99.5%; latency budgets; battery audit; error monitoring &amp; alerting.</t>
        </is>
      </c>
      <c r="E13" s="55" t="inlineStr">
        <is>
          <t>Ming + dev</t>
        </is>
      </c>
      <c r="F13" s="55" t="inlineStr">
        <is>
          <t>Crash-free sessions ≥99.5%</t>
        </is>
      </c>
      <c r="G13" s="65" t="inlineStr">
        <is>
          <t>Planned</t>
        </is>
      </c>
    </row>
    <row r="14" ht="49.5" customHeight="1" s="48">
      <c r="A14" s="67" t="inlineStr">
        <is>
          <t>Phase 2
Q3 2026</t>
        </is>
      </c>
      <c r="B14" s="57" t="inlineStr">
        <is>
          <t>Body monitor</t>
        </is>
      </c>
      <c r="C14" s="57" t="inlineStr">
        <is>
          <t>Smart-scale + BF% trend</t>
        </is>
      </c>
      <c r="D14" s="57" t="inlineStr">
        <is>
          <t>Withings + Fitbit Aria integration; body fat % chart; weekly PDF export.</t>
        </is>
      </c>
      <c r="E14" s="57" t="inlineStr">
        <is>
          <t>Ming</t>
        </is>
      </c>
      <c r="F14" s="57" t="inlineStr">
        <is>
          <t>Smart-scale sync live; PDF export shipped</t>
        </is>
      </c>
      <c r="G14" s="66" t="inlineStr">
        <is>
          <t>Planned</t>
        </is>
      </c>
    </row>
    <row r="15" ht="49.5" customHeight="1" s="48">
      <c r="A15" s="68" t="inlineStr">
        <is>
          <t>Phase 3
Q4 2026</t>
        </is>
      </c>
      <c r="B15" s="55" t="inlineStr">
        <is>
          <t>Creators</t>
        </is>
      </c>
      <c r="C15" s="55" t="inlineStr">
        <is>
          <t>Coordinated creator wave</t>
        </is>
      </c>
      <c r="D15" s="55" t="inlineStr">
        <is>
          <t>Sign 8–12 SG IG/TikTok creators; custom referral codes; 3-week burst calendar.</t>
        </is>
      </c>
      <c r="E15" s="55" t="inlineStr">
        <is>
          <t>Ming</t>
        </is>
      </c>
      <c r="F15" s="55" t="inlineStr">
        <is>
          <t>≥8 creators live; CAC ≤ S$5</t>
        </is>
      </c>
      <c r="G15" s="65" t="inlineStr">
        <is>
          <t>Planned</t>
        </is>
      </c>
    </row>
    <row r="16" ht="49.5" customHeight="1" s="48">
      <c r="A16" s="68" t="inlineStr">
        <is>
          <t>Phase 3
Q4 2026</t>
        </is>
      </c>
      <c r="B16" s="57" t="inlineStr">
        <is>
          <t>App Store</t>
        </is>
      </c>
      <c r="C16" s="57" t="inlineStr">
        <is>
          <t>Editorial featuring</t>
        </is>
      </c>
      <c r="D16" s="57" t="inlineStr">
        <is>
          <t>Pitch Apple SEA + Google Play for Health/Fitness collection placement.</t>
        </is>
      </c>
      <c r="E16" s="57" t="inlineStr">
        <is>
          <t>Ming</t>
        </is>
      </c>
      <c r="F16" s="57" t="inlineStr">
        <is>
          <t>Featured in ≥1 collection</t>
        </is>
      </c>
      <c r="G16" s="66" t="inlineStr">
        <is>
          <t>Planned</t>
        </is>
      </c>
    </row>
    <row r="17" ht="49.5" customHeight="1" s="48">
      <c r="A17" s="68" t="inlineStr">
        <is>
          <t>Phase 3
Q4 2026</t>
        </is>
      </c>
      <c r="B17" s="55" t="inlineStr">
        <is>
          <t>PR</t>
        </is>
      </c>
      <c r="C17" s="55" t="inlineStr">
        <is>
          <t>SG tech &amp; lifestyle press</t>
        </is>
      </c>
      <c r="D17" s="55" t="inlineStr">
        <is>
          <t>Tech in Asia, e27, CNA Lifestyle, Daily SG; founder narrative; data moat angle.</t>
        </is>
      </c>
      <c r="E17" s="55" t="inlineStr">
        <is>
          <t>Ming</t>
        </is>
      </c>
      <c r="F17" s="55" t="inlineStr">
        <is>
          <t>≥3 SG outlets covered</t>
        </is>
      </c>
      <c r="G17" s="65" t="inlineStr">
        <is>
          <t>Planned</t>
        </is>
      </c>
    </row>
    <row r="18" ht="49.5" customHeight="1" s="48">
      <c r="A18" s="68" t="inlineStr">
        <is>
          <t>Phase 3
Q4 2026</t>
        </is>
      </c>
      <c r="B18" s="57" t="inlineStr">
        <is>
          <t>Monetisation</t>
        </is>
      </c>
      <c r="C18" s="57" t="inlineStr">
        <is>
          <t>Stride+ subscription live</t>
        </is>
      </c>
      <c r="D18" s="57" t="inlineStr">
        <is>
          <t>Hard paywall on advanced Eat filters, Move map, multi-wearable sync, weekly PDF; pricing test.</t>
        </is>
      </c>
      <c r="E18" s="57" t="inlineStr">
        <is>
          <t>Ming</t>
        </is>
      </c>
      <c r="F18" s="57" t="inlineStr">
        <is>
          <t>≥3% conversion of MAU</t>
        </is>
      </c>
      <c r="G18" s="66" t="inlineStr">
        <is>
          <t>Planned</t>
        </is>
      </c>
    </row>
    <row r="19" ht="49.5" customHeight="1" s="48">
      <c r="A19" s="68" t="inlineStr">
        <is>
          <t>Phase 3
Q4 2026</t>
        </is>
      </c>
      <c r="B19" s="55" t="inlineStr">
        <is>
          <t>Paid pilot</t>
        </is>
      </c>
      <c r="C19" s="55" t="inlineStr">
        <is>
          <t>Meta/TikTok performance pilot</t>
        </is>
      </c>
      <c r="D19" s="55" t="inlineStr">
        <is>
          <t>S$5k pilot with creator-style native creative; 3 audiences; CAC + retention readout weekly.</t>
        </is>
      </c>
      <c r="E19" s="55" t="inlineStr">
        <is>
          <t>Ming</t>
        </is>
      </c>
      <c r="F19" s="55" t="inlineStr">
        <is>
          <t>CAC ≤ S$8 with D7 ≥ 25%</t>
        </is>
      </c>
      <c r="G19" s="65" t="inlineStr">
        <is>
          <t>Planned</t>
        </is>
      </c>
    </row>
    <row r="20" ht="49.5" customHeight="1" s="48">
      <c r="A20" s="69" t="inlineStr">
        <is>
          <t>Phase 4
Q1 2027</t>
        </is>
      </c>
      <c r="B20" s="57" t="inlineStr">
        <is>
          <t>Provider portal</t>
        </is>
      </c>
      <c r="C20" s="57" t="inlineStr">
        <is>
          <t>Build self-serve dashboard</t>
        </is>
      </c>
      <c r="D20" s="57" t="inlineStr">
        <is>
          <t>Menu CMS, calorie data, classes, promotions; verified badge logic; analytics view.</t>
        </is>
      </c>
      <c r="E20" s="57" t="inlineStr">
        <is>
          <t>Ming + dev</t>
        </is>
      </c>
      <c r="F20" s="57" t="inlineStr">
        <is>
          <t>Portal beta live</t>
        </is>
      </c>
      <c r="G20" s="66" t="inlineStr">
        <is>
          <t>Planned</t>
        </is>
      </c>
    </row>
    <row r="21" ht="49.5" customHeight="1" s="48">
      <c r="A21" s="69" t="inlineStr">
        <is>
          <t>Phase 4
Q1 2027</t>
        </is>
      </c>
      <c r="B21" s="55" t="inlineStr">
        <is>
          <t>Anchor partners</t>
        </is>
      </c>
      <c r="C21" s="55" t="inlineStr">
        <is>
          <t>Sign 1 per category</t>
        </is>
      </c>
      <c r="D21" s="55" t="inlineStr">
        <is>
          <t>1 wellness clinic, 1 gym chain, 1 healthier-eating chain, 1 supermarket, 1 corporate pilot.</t>
        </is>
      </c>
      <c r="E21" s="55" t="inlineStr">
        <is>
          <t>Ming</t>
        </is>
      </c>
      <c r="F21" s="55" t="inlineStr">
        <is>
          <t>≥3–5 anchor partners live</t>
        </is>
      </c>
      <c r="G21" s="65" t="inlineStr">
        <is>
          <t>Planned</t>
        </is>
      </c>
    </row>
    <row r="22" ht="49.5" customHeight="1" s="48">
      <c r="A22" s="69" t="inlineStr">
        <is>
          <t>Phase 4
Q1 2027</t>
        </is>
      </c>
      <c r="B22" s="57" t="inlineStr">
        <is>
          <t>Affiliate</t>
        </is>
      </c>
      <c r="C22" s="57" t="inlineStr">
        <is>
          <t>Delivery deep-links</t>
        </is>
      </c>
      <c r="D22" s="57" t="inlineStr">
        <is>
          <t>GrabFood + Foodpanda deep-links from Eat cards; affiliate tracking &amp; rev share.</t>
        </is>
      </c>
      <c r="E22" s="57" t="inlineStr">
        <is>
          <t>Ming</t>
        </is>
      </c>
      <c r="F22" s="57" t="inlineStr">
        <is>
          <t>≥1 delivery partner live; revenue tracked</t>
        </is>
      </c>
      <c r="G22" s="66" t="inlineStr">
        <is>
          <t>Planned</t>
        </is>
      </c>
    </row>
    <row r="23" ht="49.5" customHeight="1" s="48">
      <c r="A23" s="69" t="inlineStr">
        <is>
          <t>Phase 4
Q1 2027</t>
        </is>
      </c>
      <c r="B23" s="55" t="inlineStr">
        <is>
          <t>Stride for Teams</t>
        </is>
      </c>
      <c r="C23" s="55" t="inlineStr">
        <is>
          <t>Corporate wellness pilot</t>
        </is>
      </c>
      <c r="D23" s="55" t="inlineStr">
        <is>
          <t>1 corporate pilot (50–200 seats); HR dashboard; anonymised insights.</t>
        </is>
      </c>
      <c r="E23" s="55" t="inlineStr">
        <is>
          <t>Ming + sales</t>
        </is>
      </c>
      <c r="F23" s="55" t="inlineStr">
        <is>
          <t>1 corporate pilot signed</t>
        </is>
      </c>
      <c r="G23" s="65" t="inlineStr">
        <is>
          <t>Planned</t>
        </is>
      </c>
    </row>
    <row r="24" ht="49.5" customHeight="1" s="48">
      <c r="A24" s="69" t="inlineStr">
        <is>
          <t>Phase 4
Q1 2027</t>
        </is>
      </c>
      <c r="B24" s="57" t="inlineStr">
        <is>
          <t>Community v0</t>
        </is>
      </c>
      <c r="C24" s="57" t="inlineStr">
        <is>
          <t>Foundations only</t>
        </is>
      </c>
      <c r="D24" s="57" t="inlineStr">
        <is>
          <t>Social Favorites (per ideas.md): see how many saved, community-curated lists. No full feed yet.</t>
        </is>
      </c>
      <c r="E24" s="57" t="inlineStr">
        <is>
          <t>Ming</t>
        </is>
      </c>
      <c r="F24" s="57" t="inlineStr">
        <is>
          <t>Favorites surface live</t>
        </is>
      </c>
      <c r="G24" s="66" t="inlineStr">
        <is>
          <t>Planned</t>
        </is>
      </c>
    </row>
  </sheetData>
  <mergeCells count="2">
    <mergeCell ref="A2:G2"/>
    <mergeCell ref="A1:G1"/>
  </mergeCells>
  <conditionalFormatting sqref="G5:G24">
    <cfRule type="cellIs" rank="0" priority="2" equalAverage="0" operator="equal" aboveAverage="0" dxfId="0" text="" percent="0" bottom="0">
      <formula>"In progress"</formula>
    </cfRule>
    <cfRule type="cellIs" rank="0" priority="3" equalAverage="0" operator="equal" aboveAverage="0" dxfId="1" text="" percent="0" bottom="0">
      <formula>"Planned"</formula>
    </cfRule>
    <cfRule type="cellIs" rank="0" priority="4" equalAverage="0" operator="equal" aboveAverage="0" dxfId="2" text="" percent="0" bottom="0">
      <formula>"Done"</formula>
    </cfRule>
    <cfRule type="cellIs" rank="0" priority="5" equalAverage="0" operator="equal" aboveAverage="0" dxfId="3" text="" percent="0" bottom="0">
      <formula>"At risk"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47" min="1" max="1"/>
    <col width="22" customWidth="1" style="47" min="2" max="2"/>
    <col width="50" customWidth="1" style="47" min="3" max="3"/>
    <col width="16" customWidth="1" style="47" min="4" max="4"/>
    <col width="14" customWidth="1" style="47" min="5" max="5"/>
    <col width="18" customWidth="1" style="47" min="6" max="6"/>
  </cols>
  <sheetData>
    <row r="1" ht="30" customHeight="1" s="48">
      <c r="A1" s="49" t="inlineStr">
        <is>
          <t>Pre-Launch Checklist (Singapore)</t>
        </is>
      </c>
    </row>
    <row r="2" ht="21.75" customHeight="1" s="48">
      <c r="A2" s="50" t="inlineStr">
        <is>
          <t>Granular pre-launch tasks. Mark Status = Done as completed.</t>
        </is>
      </c>
    </row>
    <row r="4" ht="31.5" customHeight="1" s="48">
      <c r="A4" s="51" t="inlineStr">
        <is>
          <t>Area</t>
        </is>
      </c>
      <c r="B4" s="51" t="inlineStr">
        <is>
          <t>Item</t>
        </is>
      </c>
      <c r="C4" s="51" t="inlineStr">
        <is>
          <t>Detail</t>
        </is>
      </c>
      <c r="D4" s="51" t="inlineStr">
        <is>
          <t>Owner</t>
        </is>
      </c>
      <c r="E4" s="51" t="inlineStr">
        <is>
          <t>Due</t>
        </is>
      </c>
      <c r="F4" s="51" t="inlineStr">
        <is>
          <t>Status</t>
        </is>
      </c>
    </row>
    <row r="5" ht="15" customHeight="1" s="48">
      <c r="A5" s="70" t="inlineStr">
        <is>
          <t>Product</t>
        </is>
      </c>
      <c r="B5" s="55" t="inlineStr">
        <is>
          <t>Lock v2.0 spec</t>
        </is>
      </c>
      <c r="C5" s="55" t="inlineStr">
        <is>
          <t>Sign-off on 4 pillars, 5-tab nav, screen-by-screen spec</t>
        </is>
      </c>
      <c r="D5" s="55" t="inlineStr">
        <is>
          <t>Ming</t>
        </is>
      </c>
      <c r="E5" s="55" t="inlineStr">
        <is>
          <t>Wk 1</t>
        </is>
      </c>
      <c r="F5" s="71" t="inlineStr">
        <is>
          <t>In progress</t>
        </is>
      </c>
    </row>
    <row r="6" ht="15" customHeight="1" s="48">
      <c r="A6" s="72" t="inlineStr">
        <is>
          <t>Product</t>
        </is>
      </c>
      <c r="B6" s="57" t="inlineStr">
        <is>
          <t>Design system</t>
        </is>
      </c>
      <c r="C6" s="57" t="inlineStr">
        <is>
          <t>Typography, spacing, hero number treatment, color tokens</t>
        </is>
      </c>
      <c r="D6" s="57" t="inlineStr">
        <is>
          <t>Ming</t>
        </is>
      </c>
      <c r="E6" s="57" t="inlineStr">
        <is>
          <t>Wk 2</t>
        </is>
      </c>
      <c r="F6" s="73" t="inlineStr">
        <is>
          <t>Planned</t>
        </is>
      </c>
    </row>
    <row r="7" ht="15" customHeight="1" s="48">
      <c r="A7" s="70" t="inlineStr">
        <is>
          <t>Product</t>
        </is>
      </c>
      <c r="B7" s="55" t="inlineStr">
        <is>
          <t>Onboarding flow</t>
        </is>
      </c>
      <c r="C7" s="55" t="inlineStr">
        <is>
          <t>3-screen onboarding: goal, body baseline, permissions</t>
        </is>
      </c>
      <c r="D7" s="55" t="inlineStr">
        <is>
          <t>Ming</t>
        </is>
      </c>
      <c r="E7" s="55" t="inlineStr">
        <is>
          <t>Wk 7</t>
        </is>
      </c>
      <c r="F7" s="71" t="inlineStr">
        <is>
          <t>Planned</t>
        </is>
      </c>
    </row>
    <row r="8" ht="15" customHeight="1" s="48">
      <c r="A8" s="72" t="inlineStr">
        <is>
          <t>Product</t>
        </is>
      </c>
      <c r="B8" s="57" t="inlineStr">
        <is>
          <t>Empty states &amp; errors</t>
        </is>
      </c>
      <c r="C8" s="57" t="inlineStr">
        <is>
          <t>Friendly empty states for Eat/Move when no nearby results</t>
        </is>
      </c>
      <c r="D8" s="57" t="inlineStr">
        <is>
          <t>Ming</t>
        </is>
      </c>
      <c r="E8" s="57" t="inlineStr">
        <is>
          <t>Wk 8</t>
        </is>
      </c>
      <c r="F8" s="73" t="inlineStr">
        <is>
          <t>Planned</t>
        </is>
      </c>
    </row>
    <row r="9" ht="15" customHeight="1" s="48">
      <c r="A9" s="70" t="inlineStr">
        <is>
          <t>Data</t>
        </is>
      </c>
      <c r="B9" s="55" t="inlineStr">
        <is>
          <t>Seed SG DB (352 SKUs)</t>
        </is>
      </c>
      <c r="C9" s="55" t="inlineStr">
        <is>
          <t>Import CSV v3; verify mapping; nightly checks</t>
        </is>
      </c>
      <c r="D9" s="55" t="inlineStr">
        <is>
          <t>Ming</t>
        </is>
      </c>
      <c r="E9" s="55" t="inlineStr">
        <is>
          <t>Wk 4</t>
        </is>
      </c>
      <c r="F9" s="71" t="inlineStr">
        <is>
          <t>In progress</t>
        </is>
      </c>
    </row>
    <row r="10" ht="15" customHeight="1" s="48">
      <c r="A10" s="72" t="inlineStr">
        <is>
          <t>Data</t>
        </is>
      </c>
      <c r="B10" s="57" t="inlineStr">
        <is>
          <t>Confidence score schema</t>
        </is>
      </c>
      <c r="C10" s="57" t="inlineStr">
        <is>
          <t>Set up community-add structure for Phase 2</t>
        </is>
      </c>
      <c r="D10" s="57" t="inlineStr">
        <is>
          <t>Ming</t>
        </is>
      </c>
      <c r="E10" s="57" t="inlineStr">
        <is>
          <t>Wk 5</t>
        </is>
      </c>
      <c r="F10" s="73" t="inlineStr">
        <is>
          <t>Planned</t>
        </is>
      </c>
    </row>
    <row r="11" ht="15" customHeight="1" s="48">
      <c r="A11" s="70" t="inlineStr">
        <is>
          <t>AI</t>
        </is>
      </c>
      <c r="B11" s="55" t="inlineStr">
        <is>
          <t>Photo scan baseline</t>
        </is>
      </c>
      <c r="C11" s="55" t="inlineStr">
        <is>
          <t>Vision AI plumbed; eval set of 100 SG dishes</t>
        </is>
      </c>
      <c r="D11" s="55" t="inlineStr">
        <is>
          <t>Ming</t>
        </is>
      </c>
      <c r="E11" s="55" t="inlineStr">
        <is>
          <t>Wk 6</t>
        </is>
      </c>
      <c r="F11" s="71" t="inlineStr">
        <is>
          <t>Planned</t>
        </is>
      </c>
    </row>
    <row r="12" ht="15" customHeight="1" s="48">
      <c r="A12" s="72" t="inlineStr">
        <is>
          <t>AI</t>
        </is>
      </c>
      <c r="B12" s="57" t="inlineStr">
        <is>
          <t>Tap-to-correct</t>
        </is>
      </c>
      <c r="C12" s="57" t="inlineStr">
        <is>
          <t>User correction flow that captures training signal</t>
        </is>
      </c>
      <c r="D12" s="57" t="inlineStr">
        <is>
          <t>Ming</t>
        </is>
      </c>
      <c r="E12" s="57" t="inlineStr">
        <is>
          <t>Wk 8</t>
        </is>
      </c>
      <c r="F12" s="73" t="inlineStr">
        <is>
          <t>Planned</t>
        </is>
      </c>
    </row>
    <row r="13" ht="15" customHeight="1" s="48">
      <c r="A13" s="70" t="inlineStr">
        <is>
          <t>Wearable</t>
        </is>
      </c>
      <c r="B13" s="55" t="inlineStr">
        <is>
          <t>Apple HealthKit</t>
        </is>
      </c>
      <c r="C13" s="55" t="inlineStr">
        <is>
          <t>Steps, active kcal, weight read; permissions copy</t>
        </is>
      </c>
      <c r="D13" s="55" t="inlineStr">
        <is>
          <t>Ming</t>
        </is>
      </c>
      <c r="E13" s="55" t="inlineStr">
        <is>
          <t>Wk 5</t>
        </is>
      </c>
      <c r="F13" s="71" t="inlineStr">
        <is>
          <t>Planned</t>
        </is>
      </c>
    </row>
    <row r="14" ht="15" customHeight="1" s="48">
      <c r="A14" s="72" t="inlineStr">
        <is>
          <t>Wearable</t>
        </is>
      </c>
      <c r="B14" s="57" t="inlineStr">
        <is>
          <t>Fitbit Web API</t>
        </is>
      </c>
      <c r="C14" s="57" t="inlineStr">
        <is>
          <t>OAuth + daily sync; duplicate-step handling</t>
        </is>
      </c>
      <c r="D14" s="57" t="inlineStr">
        <is>
          <t>Ming</t>
        </is>
      </c>
      <c r="E14" s="57" t="inlineStr">
        <is>
          <t>Wk 6</t>
        </is>
      </c>
      <c r="F14" s="73" t="inlineStr">
        <is>
          <t>Planned</t>
        </is>
      </c>
    </row>
    <row r="15" ht="15" customHeight="1" s="48">
      <c r="A15" s="70" t="inlineStr">
        <is>
          <t>Eat</t>
        </is>
      </c>
      <c r="B15" s="55" t="inlineStr">
        <is>
          <t>Google Places list view</t>
        </is>
      </c>
      <c r="C15" s="55" t="inlineStr">
        <is>
          <t>Restaurant cards: name, cuisine, distance, kcal range</t>
        </is>
      </c>
      <c r="D15" s="55" t="inlineStr">
        <is>
          <t>Ming</t>
        </is>
      </c>
      <c r="E15" s="55" t="inlineStr">
        <is>
          <t>Wk 7</t>
        </is>
      </c>
      <c r="F15" s="71" t="inlineStr">
        <is>
          <t>Planned</t>
        </is>
      </c>
    </row>
    <row r="16" ht="15" customHeight="1" s="48">
      <c r="A16" s="72" t="inlineStr">
        <is>
          <t>Eat</t>
        </is>
      </c>
      <c r="B16" s="57" t="inlineStr">
        <is>
          <t>Ready-to-eat cards</t>
        </is>
      </c>
      <c r="C16" s="57" t="inlineStr">
        <is>
          <t>From SG DB; one-tap log; filter chips</t>
        </is>
      </c>
      <c r="D16" s="57" t="inlineStr">
        <is>
          <t>Ming</t>
        </is>
      </c>
      <c r="E16" s="57" t="inlineStr">
        <is>
          <t>Wk 7</t>
        </is>
      </c>
      <c r="F16" s="73" t="inlineStr">
        <is>
          <t>Planned</t>
        </is>
      </c>
    </row>
    <row r="17" ht="15" customHeight="1" s="48">
      <c r="A17" s="70" t="inlineStr">
        <is>
          <t>Move</t>
        </is>
      </c>
      <c r="B17" s="55" t="inlineStr">
        <is>
          <t>Places map (gyms/parks)</t>
        </is>
      </c>
      <c r="C17" s="55" t="inlineStr">
        <is>
          <t>Map pins by category; activity logger with kcal estimate</t>
        </is>
      </c>
      <c r="D17" s="55" t="inlineStr">
        <is>
          <t>Ming</t>
        </is>
      </c>
      <c r="E17" s="55" t="inlineStr">
        <is>
          <t>Wk 8</t>
        </is>
      </c>
      <c r="F17" s="71" t="inlineStr">
        <is>
          <t>Planned</t>
        </is>
      </c>
    </row>
    <row r="18" ht="23.85" customHeight="1" s="48">
      <c r="A18" s="72" t="inlineStr">
        <is>
          <t>Compliance</t>
        </is>
      </c>
      <c r="B18" s="57" t="inlineStr">
        <is>
          <t>PDPA review</t>
        </is>
      </c>
      <c r="C18" s="57" t="inlineStr">
        <is>
          <t>Privacy policy, data export &amp; delete, age gating</t>
        </is>
      </c>
      <c r="D18" s="57" t="inlineStr">
        <is>
          <t>Ming + legal</t>
        </is>
      </c>
      <c r="E18" s="57" t="inlineStr">
        <is>
          <t>Wk 8</t>
        </is>
      </c>
      <c r="F18" s="73" t="inlineStr">
        <is>
          <t>Planned</t>
        </is>
      </c>
    </row>
    <row r="19" ht="23.85" customHeight="1" s="48">
      <c r="A19" s="70" t="inlineStr">
        <is>
          <t>Compliance</t>
        </is>
      </c>
      <c r="B19" s="55" t="inlineStr">
        <is>
          <t>App Store privacy label</t>
        </is>
      </c>
      <c r="C19" s="55" t="inlineStr">
        <is>
          <t>Apple App Privacy form; Google Data safety form</t>
        </is>
      </c>
      <c r="D19" s="55" t="inlineStr">
        <is>
          <t>Ming</t>
        </is>
      </c>
      <c r="E19" s="55" t="inlineStr">
        <is>
          <t>Wk 10</t>
        </is>
      </c>
      <c r="F19" s="71" t="inlineStr">
        <is>
          <t>Planned</t>
        </is>
      </c>
    </row>
    <row r="20" ht="15" customHeight="1" s="48">
      <c r="A20" s="72" t="inlineStr">
        <is>
          <t>QA</t>
        </is>
      </c>
      <c r="B20" s="57" t="inlineStr">
        <is>
          <t>Internal dogfood</t>
        </is>
      </c>
      <c r="C20" s="57" t="inlineStr">
        <is>
          <t>10–15 trusted users for 2 weeks</t>
        </is>
      </c>
      <c r="D20" s="57" t="inlineStr">
        <is>
          <t>Ming</t>
        </is>
      </c>
      <c r="E20" s="57" t="inlineStr">
        <is>
          <t>Wk 9</t>
        </is>
      </c>
      <c r="F20" s="73" t="inlineStr">
        <is>
          <t>Planned</t>
        </is>
      </c>
    </row>
    <row r="21" ht="15" customHeight="1" s="48">
      <c r="A21" s="70" t="inlineStr">
        <is>
          <t>QA</t>
        </is>
      </c>
      <c r="B21" s="55" t="inlineStr">
        <is>
          <t>Crashlytics &amp; analytics</t>
        </is>
      </c>
      <c r="C21" s="55" t="inlineStr">
        <is>
          <t>Sentry/Crashlytics + product analytics in place</t>
        </is>
      </c>
      <c r="D21" s="55" t="inlineStr">
        <is>
          <t>Ming</t>
        </is>
      </c>
      <c r="E21" s="55" t="inlineStr">
        <is>
          <t>Wk 9</t>
        </is>
      </c>
      <c r="F21" s="71" t="inlineStr">
        <is>
          <t>Planned</t>
        </is>
      </c>
    </row>
    <row r="22" ht="23.85" customHeight="1" s="48">
      <c r="A22" s="72" t="inlineStr">
        <is>
          <t>QA</t>
        </is>
      </c>
      <c r="B22" s="57" t="inlineStr">
        <is>
          <t>Closed TestFlight + Play beta</t>
        </is>
      </c>
      <c r="C22" s="57" t="inlineStr">
        <is>
          <t>150 invited users; weekly cohort retention readout</t>
        </is>
      </c>
      <c r="D22" s="57" t="inlineStr">
        <is>
          <t>Ming</t>
        </is>
      </c>
      <c r="E22" s="57" t="inlineStr">
        <is>
          <t>Wk 10</t>
        </is>
      </c>
      <c r="F22" s="73" t="inlineStr">
        <is>
          <t>Planned</t>
        </is>
      </c>
    </row>
    <row r="23" ht="23.85" customHeight="1" s="48">
      <c r="A23" s="70" t="inlineStr">
        <is>
          <t>Launch</t>
        </is>
      </c>
      <c r="B23" s="55" t="inlineStr">
        <is>
          <t>App Store screenshots &amp; copy</t>
        </is>
      </c>
      <c r="C23" s="55" t="inlineStr">
        <is>
          <t>5 SG-themed screenshots; keyword set; subtitle</t>
        </is>
      </c>
      <c r="D23" s="55" t="inlineStr">
        <is>
          <t>Ming</t>
        </is>
      </c>
      <c r="E23" s="55" t="inlineStr">
        <is>
          <t>Wk 10</t>
        </is>
      </c>
      <c r="F23" s="71" t="inlineStr">
        <is>
          <t>Planned</t>
        </is>
      </c>
    </row>
    <row r="24" ht="15" customHeight="1" s="48">
      <c r="A24" s="72" t="inlineStr">
        <is>
          <t>Launch</t>
        </is>
      </c>
      <c r="B24" s="57" t="inlineStr">
        <is>
          <t>Submission</t>
        </is>
      </c>
      <c r="C24" s="57" t="inlineStr">
        <is>
          <t>App Store Connect + Play Console submission, age rating</t>
        </is>
      </c>
      <c r="D24" s="57" t="inlineStr">
        <is>
          <t>Ming</t>
        </is>
      </c>
      <c r="E24" s="57" t="inlineStr">
        <is>
          <t>Wk 11</t>
        </is>
      </c>
      <c r="F24" s="73" t="inlineStr">
        <is>
          <t>Planned</t>
        </is>
      </c>
    </row>
    <row r="25" ht="15" customHeight="1" s="48">
      <c r="A25" s="70" t="inlineStr">
        <is>
          <t>Launch</t>
        </is>
      </c>
      <c r="B25" s="55" t="inlineStr">
        <is>
          <t>Soft launch</t>
        </is>
      </c>
      <c r="C25" s="55" t="inlineStr">
        <is>
          <t>Public release; monitor crashes &amp; ratings hourly first 72h</t>
        </is>
      </c>
      <c r="D25" s="55" t="inlineStr">
        <is>
          <t>Ming</t>
        </is>
      </c>
      <c r="E25" s="55" t="inlineStr">
        <is>
          <t>Wk 12</t>
        </is>
      </c>
      <c r="F25" s="71" t="inlineStr">
        <is>
          <t>Planned</t>
        </is>
      </c>
    </row>
    <row r="26" ht="15" customHeight="1" s="48">
      <c r="A26" s="72" t="inlineStr">
        <is>
          <t>Marketing</t>
        </is>
      </c>
      <c r="B26" s="57" t="inlineStr">
        <is>
          <t>Landing page + waitlist</t>
        </is>
      </c>
      <c r="C26" s="57" t="inlineStr">
        <is>
          <t>Single-page site, signup form, demo videos</t>
        </is>
      </c>
      <c r="D26" s="57" t="inlineStr">
        <is>
          <t>Ming</t>
        </is>
      </c>
      <c r="E26" s="57" t="inlineStr">
        <is>
          <t>Wk 6</t>
        </is>
      </c>
      <c r="F26" s="73" t="inlineStr">
        <is>
          <t>Planned</t>
        </is>
      </c>
    </row>
    <row r="27" ht="15" customHeight="1" s="48">
      <c r="A27" s="70" t="inlineStr">
        <is>
          <t>Marketing</t>
        </is>
      </c>
      <c r="B27" s="55" t="inlineStr">
        <is>
          <t>Creator long-list</t>
        </is>
      </c>
      <c r="C27" s="55" t="inlineStr">
        <is>
          <t>Long-list of 30 SG creators; outreach template</t>
        </is>
      </c>
      <c r="D27" s="55" t="inlineStr">
        <is>
          <t>Ming</t>
        </is>
      </c>
      <c r="E27" s="55" t="inlineStr">
        <is>
          <t>Wk 8</t>
        </is>
      </c>
      <c r="F27" s="71" t="inlineStr">
        <is>
          <t>Planned</t>
        </is>
      </c>
    </row>
    <row r="28" ht="23.85" customHeight="1" s="48">
      <c r="A28" s="72" t="inlineStr">
        <is>
          <t>BD</t>
        </is>
      </c>
      <c r="B28" s="57" t="inlineStr">
        <is>
          <t>Anchor partner outreach</t>
        </is>
      </c>
      <c r="C28" s="57" t="inlineStr">
        <is>
          <t>Warm intros to gym, restaurant, supermarket, clinic, corporate</t>
        </is>
      </c>
      <c r="D28" s="57" t="inlineStr">
        <is>
          <t>Ming</t>
        </is>
      </c>
      <c r="E28" s="57" t="inlineStr">
        <is>
          <t>Wk 6</t>
        </is>
      </c>
      <c r="F28" s="73" t="inlineStr">
        <is>
          <t>Planned</t>
        </is>
      </c>
    </row>
    <row r="29" ht="15" customHeight="1" s="48">
      <c r="A29" s="70" t="inlineStr">
        <is>
          <t>BD</t>
        </is>
      </c>
      <c r="B29" s="55" t="inlineStr">
        <is>
          <t>First LOI</t>
        </is>
      </c>
      <c r="C29" s="55" t="inlineStr">
        <is>
          <t>1 anchor partner letter of intent signed</t>
        </is>
      </c>
      <c r="D29" s="55" t="inlineStr">
        <is>
          <t>Ming</t>
        </is>
      </c>
      <c r="E29" s="55" t="inlineStr">
        <is>
          <t>Wk 12</t>
        </is>
      </c>
      <c r="F29" s="71" t="inlineStr">
        <is>
          <t>Planned</t>
        </is>
      </c>
    </row>
    <row r="32" ht="15" customHeight="1" s="48">
      <c r="A32" s="74" t="inlineStr">
        <is>
          <t>Totals</t>
        </is>
      </c>
      <c r="B32" s="75" t="inlineStr">
        <is>
          <t>Done</t>
        </is>
      </c>
      <c r="C32" s="76">
        <f>COUNTIF(F5:F29,"Done")</f>
        <v/>
      </c>
    </row>
    <row r="33" ht="15" customHeight="1" s="48">
      <c r="B33" s="75" t="inlineStr">
        <is>
          <t>In progress</t>
        </is>
      </c>
      <c r="C33" s="76">
        <f>COUNTIF(F5:F29,"In progress")</f>
        <v/>
      </c>
    </row>
    <row r="34" ht="15" customHeight="1" s="48">
      <c r="B34" s="75" t="inlineStr">
        <is>
          <t>Planned</t>
        </is>
      </c>
      <c r="C34" s="76">
        <f>COUNTIF(F5:F29,"Planned")</f>
        <v/>
      </c>
    </row>
    <row r="35" ht="15" customHeight="1" s="48">
      <c r="B35" s="75" t="inlineStr">
        <is>
          <t>Total items</t>
        </is>
      </c>
      <c r="C35" s="76">
        <f>COUNTA(B5:B29)</f>
        <v/>
      </c>
    </row>
    <row r="36" ht="15" customHeight="1" s="48">
      <c r="B36" s="75" t="inlineStr">
        <is>
          <t>% Done</t>
        </is>
      </c>
      <c r="C36" s="77">
        <f>IFERROR(C32/C35,0)</f>
        <v/>
      </c>
    </row>
  </sheetData>
  <mergeCells count="2">
    <mergeCell ref="A2:F2"/>
    <mergeCell ref="A1:F1"/>
  </mergeCells>
  <conditionalFormatting sqref="F5:F29">
    <cfRule type="cellIs" rank="0" priority="2" equalAverage="0" operator="equal" aboveAverage="0" dxfId="0" text="" percent="0" bottom="0">
      <formula>"In progress"</formula>
    </cfRule>
    <cfRule type="cellIs" rank="0" priority="3" equalAverage="0" operator="equal" aboveAverage="0" dxfId="1" text="" percent="0" bottom="0">
      <formula>"Planned"</formula>
    </cfRule>
    <cfRule type="cellIs" rank="0" priority="4" equalAverage="0" operator="equal" aboveAverage="0" dxfId="2" text="" percent="0" bottom="0">
      <formula>"Done"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47" min="1" max="1"/>
    <col width="38" customWidth="1" style="47" min="2" max="2"/>
    <col width="14" customWidth="1" style="47" min="3" max="3"/>
    <col width="22" customWidth="1" style="47" min="4" max="5"/>
    <col width="14" customWidth="1" style="47" min="6" max="6"/>
  </cols>
  <sheetData>
    <row r="1" ht="30" customHeight="1" s="48">
      <c r="A1" s="49" t="inlineStr">
        <is>
          <t>Marketing Plan — Channels, Hypothesis, Budget</t>
        </is>
      </c>
    </row>
    <row r="2" ht="21.75" customHeight="1" s="48">
      <c r="A2" s="50" t="inlineStr">
        <is>
          <t>Test budgets per channel. Scale only when success metric is hit.</t>
        </is>
      </c>
    </row>
    <row r="4" ht="31.5" customHeight="1" s="48">
      <c r="A4" s="51" t="inlineStr">
        <is>
          <t>Channel</t>
        </is>
      </c>
      <c r="B4" s="51" t="inlineStr">
        <is>
          <t>Hypothesis</t>
        </is>
      </c>
      <c r="C4" s="51" t="inlineStr">
        <is>
          <t>Test budget (S$)</t>
        </is>
      </c>
      <c r="D4" s="51" t="inlineStr">
        <is>
          <t>Success metric</t>
        </is>
      </c>
      <c r="E4" s="51" t="inlineStr">
        <is>
          <t>Owner</t>
        </is>
      </c>
      <c r="F4" s="51" t="inlineStr">
        <is>
          <t>Status</t>
        </is>
      </c>
    </row>
    <row r="5" ht="23.85" customHeight="1" s="48">
      <c r="A5" s="78" t="inlineStr">
        <is>
          <t>Creator partnerships (IG/TikTok)</t>
        </is>
      </c>
      <c r="B5" s="55" t="inlineStr">
        <is>
          <t>Low CAC + social proof from local SG creators</t>
        </is>
      </c>
      <c r="C5" s="79" t="n">
        <v>8000</v>
      </c>
      <c r="D5" s="55" t="inlineStr">
        <is>
          <t>CAC ≤ S$5; &gt;3% click-to-install</t>
        </is>
      </c>
      <c r="E5" s="55" t="inlineStr">
        <is>
          <t>Ming</t>
        </is>
      </c>
      <c r="F5" s="80" t="inlineStr">
        <is>
          <t>Planned</t>
        </is>
      </c>
    </row>
    <row r="6" ht="23.85" customHeight="1" s="48">
      <c r="A6" s="81" t="inlineStr">
        <is>
          <t>App Store SEO</t>
        </is>
      </c>
      <c r="B6" s="57" t="inlineStr">
        <is>
          <t>Own 'calorie tracker Singapore' &amp; related intent</t>
        </is>
      </c>
      <c r="C6" s="82" t="n">
        <v>1000</v>
      </c>
      <c r="D6" s="57" t="inlineStr">
        <is>
          <t>Top-3 SG ranking on 5 keywords</t>
        </is>
      </c>
      <c r="E6" s="57" t="inlineStr">
        <is>
          <t>Ming</t>
        </is>
      </c>
      <c r="F6" s="83" t="inlineStr">
        <is>
          <t>Planned</t>
        </is>
      </c>
    </row>
    <row r="7" ht="23.85" customHeight="1" s="48">
      <c r="A7" s="78" t="inlineStr">
        <is>
          <t>Reddit r/singapore + Telegram</t>
        </is>
      </c>
      <c r="B7" s="55" t="inlineStr">
        <is>
          <t>High-trust SG niche communities; founder voice</t>
        </is>
      </c>
      <c r="C7" s="79" t="n">
        <v>0</v>
      </c>
      <c r="D7" s="55" t="inlineStr">
        <is>
          <t>Organic mentions; 2 AMAs</t>
        </is>
      </c>
      <c r="E7" s="55" t="inlineStr">
        <is>
          <t>Ming</t>
        </is>
      </c>
      <c r="F7" s="80" t="inlineStr">
        <is>
          <t>Planned</t>
        </is>
      </c>
    </row>
    <row r="8" ht="23.85" customHeight="1" s="48">
      <c r="A8" s="81" t="inlineStr">
        <is>
          <t>Partner co-marketing</t>
        </is>
      </c>
      <c r="B8" s="57" t="inlineStr">
        <is>
          <t>Co-promote with anchor partners to bring their customers</t>
        </is>
      </c>
      <c r="C8" s="82" t="n">
        <v>0</v>
      </c>
      <c r="D8" s="57" t="inlineStr">
        <is>
          <t>≥3 anchor partners co-promoted</t>
        </is>
      </c>
      <c r="E8" s="57" t="inlineStr">
        <is>
          <t>Ming</t>
        </is>
      </c>
      <c r="F8" s="83" t="inlineStr">
        <is>
          <t>Planned</t>
        </is>
      </c>
    </row>
    <row r="9" ht="23.85" customHeight="1" s="48">
      <c r="A9" s="78" t="inlineStr">
        <is>
          <t>Meta + TikTok paid</t>
        </is>
      </c>
      <c r="B9" s="55" t="inlineStr">
        <is>
          <t>Performance pilot — only after PMF signal in retention</t>
        </is>
      </c>
      <c r="C9" s="79" t="n">
        <v>5000</v>
      </c>
      <c r="D9" s="55" t="inlineStr">
        <is>
          <t>CAC ≤ S$8; D7 ≥ 25%</t>
        </is>
      </c>
      <c r="E9" s="55" t="inlineStr">
        <is>
          <t>Ming</t>
        </is>
      </c>
      <c r="F9" s="80" t="inlineStr">
        <is>
          <t>Planned</t>
        </is>
      </c>
    </row>
    <row r="10" ht="23.85" customHeight="1" s="48">
      <c r="A10" s="81" t="inlineStr">
        <is>
          <t>PR (TIA, e27, CNA Lifestyle)</t>
        </is>
      </c>
      <c r="B10" s="57" t="inlineStr">
        <is>
          <t>Founder + data moat narrative wins editorial attention</t>
        </is>
      </c>
      <c r="C10" s="82" t="n">
        <v>0</v>
      </c>
      <c r="D10" s="57" t="inlineStr">
        <is>
          <t>≥3 SG outlets covered</t>
        </is>
      </c>
      <c r="E10" s="57" t="inlineStr">
        <is>
          <t>Ming</t>
        </is>
      </c>
      <c r="F10" s="83" t="inlineStr">
        <is>
          <t>Planned</t>
        </is>
      </c>
    </row>
    <row r="11" ht="15" customHeight="1" s="48">
      <c r="A11" s="78" t="inlineStr">
        <is>
          <t>Corporate wellness BD</t>
        </is>
      </c>
      <c r="B11" s="55" t="inlineStr">
        <is>
          <t>B2B2C distribution via 1–2 anchor employers</t>
        </is>
      </c>
      <c r="C11" s="79" t="n">
        <v>0</v>
      </c>
      <c r="D11" s="55" t="inlineStr">
        <is>
          <t>1 corporate pilot signed</t>
        </is>
      </c>
      <c r="E11" s="55" t="inlineStr">
        <is>
          <t>Ming</t>
        </is>
      </c>
      <c r="F11" s="80" t="inlineStr">
        <is>
          <t>Planned</t>
        </is>
      </c>
    </row>
    <row r="12" ht="23.85" customHeight="1" s="48">
      <c r="A12" s="81" t="inlineStr">
        <is>
          <t>HPB / Healthier SG outreach</t>
        </is>
      </c>
      <c r="B12" s="57" t="inlineStr">
        <is>
          <t>Govt programmes amplify SG-native health apps</t>
        </is>
      </c>
      <c r="C12" s="82" t="n">
        <v>0</v>
      </c>
      <c r="D12" s="57" t="inlineStr">
        <is>
          <t>1 introduction meeting</t>
        </is>
      </c>
      <c r="E12" s="57" t="inlineStr">
        <is>
          <t>Ming</t>
        </is>
      </c>
      <c r="F12" s="83" t="inlineStr">
        <is>
          <t>Planned</t>
        </is>
      </c>
    </row>
    <row r="13" ht="23.85" customHeight="1" s="48">
      <c r="A13" s="78" t="inlineStr">
        <is>
          <t>Referral program</t>
        </is>
      </c>
      <c r="B13" s="55" t="inlineStr">
        <is>
          <t>Existing users invite friends for Stride+ trial extension</t>
        </is>
      </c>
      <c r="C13" s="79" t="n">
        <v>1500</v>
      </c>
      <c r="D13" s="55" t="inlineStr">
        <is>
          <t>Referral CAC ≤ S$3</t>
        </is>
      </c>
      <c r="E13" s="55" t="inlineStr">
        <is>
          <t>Ming</t>
        </is>
      </c>
      <c r="F13" s="80" t="inlineStr">
        <is>
          <t>Planned</t>
        </is>
      </c>
    </row>
    <row r="14" ht="23.85" customHeight="1" s="48">
      <c r="A14" s="81" t="inlineStr">
        <is>
          <t>Newsletter / content SEO</t>
        </is>
      </c>
      <c r="B14" s="57" t="inlineStr">
        <is>
          <t>Long-tail SG nutrition queries (e.g. 'NTUC ready meal calories')</t>
        </is>
      </c>
      <c r="C14" s="82" t="n">
        <v>1000</v>
      </c>
      <c r="D14" s="57" t="inlineStr">
        <is>
          <t>1k organic visits/mo by Ph 4</t>
        </is>
      </c>
      <c r="E14" s="57" t="inlineStr">
        <is>
          <t>Ming</t>
        </is>
      </c>
      <c r="F14" s="83" t="inlineStr">
        <is>
          <t>Planned</t>
        </is>
      </c>
    </row>
    <row r="16" ht="15" customHeight="1" s="48">
      <c r="A16" s="74" t="inlineStr">
        <is>
          <t>Total test budget</t>
        </is>
      </c>
      <c r="C16" s="84">
        <f>SUM(C5:C15)</f>
        <v/>
      </c>
    </row>
  </sheetData>
  <mergeCells count="2">
    <mergeCell ref="A2:F2"/>
    <mergeCell ref="A1:F1"/>
  </mergeCells>
  <conditionalFormatting sqref="F5:F14">
    <cfRule type="cellIs" rank="0" priority="2" equalAverage="0" operator="equal" aboveAverage="0" dxfId="1" text="" percent="0" bottom="0">
      <formula>"Planned"</formula>
    </cfRule>
    <cfRule type="cellIs" rank="0" priority="3" equalAverage="0" operator="equal" aboveAverage="0" dxfId="0" text="" percent="0" bottom="0">
      <formula>"In progress"</formula>
    </cfRule>
    <cfRule type="cellIs" rank="0" priority="4" equalAverage="0" operator="equal" aboveAverage="0" dxfId="2" text="" percent="0" bottom="0">
      <formula>"Done"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47" min="1" max="1"/>
    <col width="24" customWidth="1" style="47" min="2" max="2"/>
    <col width="36" customWidth="1" style="47" min="3" max="3"/>
    <col width="18" customWidth="1" style="47" min="4" max="4"/>
    <col width="16" customWidth="1" style="47" min="5" max="6"/>
  </cols>
  <sheetData>
    <row r="1" ht="30" customHeight="1" s="48">
      <c r="A1" s="49" t="inlineStr">
        <is>
          <t>Partner Pipeline — Anchor + Self-serve</t>
        </is>
      </c>
    </row>
    <row r="2" ht="21.75" customHeight="1" s="48">
      <c r="A2" s="50" t="inlineStr">
        <is>
          <t>Sign 1 anchor per category before opening self-serve. Founding Partner badge for first 3 in each category.</t>
        </is>
      </c>
    </row>
    <row r="4" ht="31.5" customHeight="1" s="48">
      <c r="A4" s="51" t="inlineStr">
        <is>
          <t>Category</t>
        </is>
      </c>
      <c r="B4" s="51" t="inlineStr">
        <is>
          <t>Target partner (example)</t>
        </is>
      </c>
      <c r="C4" s="51" t="inlineStr">
        <is>
          <t>Value to Stride users</t>
        </is>
      </c>
      <c r="D4" s="51" t="inlineStr">
        <is>
          <t>Stage</t>
        </is>
      </c>
      <c r="E4" s="51" t="inlineStr">
        <is>
          <t>Est. value</t>
        </is>
      </c>
      <c r="F4" s="51" t="inlineStr">
        <is>
          <t>Status</t>
        </is>
      </c>
    </row>
    <row r="5" ht="23.85" customHeight="1" s="48">
      <c r="A5" s="70" t="inlineStr">
        <is>
          <t>Healthier-eating chain</t>
        </is>
      </c>
      <c r="B5" s="55" t="inlineStr">
        <is>
          <t>SaladStop! / Grain / The Daily Cut</t>
        </is>
      </c>
      <c r="C5" s="55" t="inlineStr">
        <is>
          <t>Verified menu macros; Eat Smart surfacing</t>
        </is>
      </c>
      <c r="D5" s="71" t="inlineStr">
        <is>
          <t>Outreach</t>
        </is>
      </c>
      <c r="E5" s="55" t="inlineStr">
        <is>
          <t>Marketing co-promo + listing rev</t>
        </is>
      </c>
      <c r="F5" s="71" t="inlineStr">
        <is>
          <t>Planned</t>
        </is>
      </c>
    </row>
    <row r="6" ht="23.85" customHeight="1" s="48">
      <c r="A6" s="72" t="inlineStr">
        <is>
          <t>Supermarket</t>
        </is>
      </c>
      <c r="B6" s="57" t="inlineStr">
        <is>
          <t>NTUC FairPrice (expand)</t>
        </is>
      </c>
      <c r="C6" s="57" t="inlineStr">
        <is>
          <t>Ready-meal cards with verified macros</t>
        </is>
      </c>
      <c r="D6" s="73" t="inlineStr">
        <is>
          <t>Pre-discussion</t>
        </is>
      </c>
      <c r="E6" s="57" t="inlineStr">
        <is>
          <t>Listing fees + data partnership</t>
        </is>
      </c>
      <c r="F6" s="73" t="inlineStr">
        <is>
          <t>Planned</t>
        </is>
      </c>
    </row>
    <row r="7" ht="23.85" customHeight="1" s="48">
      <c r="A7" s="70" t="inlineStr">
        <is>
          <t>Convenience</t>
        </is>
      </c>
      <c r="B7" s="55" t="inlineStr">
        <is>
          <t>7-Eleven SG</t>
        </is>
      </c>
      <c r="C7" s="55" t="inlineStr">
        <is>
          <t>Onigiri/wrap macros; in-app discovery</t>
        </is>
      </c>
      <c r="D7" s="71" t="inlineStr">
        <is>
          <t>Pre-discussion</t>
        </is>
      </c>
      <c r="E7" s="55" t="inlineStr">
        <is>
          <t>Listing fees + cross-promo</t>
        </is>
      </c>
      <c r="F7" s="71" t="inlineStr">
        <is>
          <t>Planned</t>
        </is>
      </c>
    </row>
    <row r="8" ht="23.85" customHeight="1" s="48">
      <c r="A8" s="72" t="inlineStr">
        <is>
          <t>Gym chain</t>
        </is>
      </c>
      <c r="B8" s="57" t="inlineStr">
        <is>
          <t>Anytime Fitness / True Fitness</t>
        </is>
      </c>
      <c r="C8" s="57" t="inlineStr">
        <is>
          <t>Discovery via Move screen; class listings</t>
        </is>
      </c>
      <c r="D8" s="73" t="inlineStr">
        <is>
          <t>Outreach</t>
        </is>
      </c>
      <c r="E8" s="57" t="inlineStr">
        <is>
          <t>Listing + lead-gen rev share</t>
        </is>
      </c>
      <c r="F8" s="73" t="inlineStr">
        <is>
          <t>Planned</t>
        </is>
      </c>
    </row>
    <row r="9" ht="15" customHeight="1" s="48">
      <c r="A9" s="70" t="inlineStr">
        <is>
          <t>Boutique studio</t>
        </is>
      </c>
      <c r="B9" s="55" t="inlineStr">
        <is>
          <t>Ground Zero / Ritual Gym</t>
        </is>
      </c>
      <c r="C9" s="55" t="inlineStr">
        <is>
          <t>Schedule integration; community discovery</t>
        </is>
      </c>
      <c r="D9" s="71" t="inlineStr">
        <is>
          <t>Lead</t>
        </is>
      </c>
      <c r="E9" s="55" t="inlineStr">
        <is>
          <t>Listing rev</t>
        </is>
      </c>
      <c r="F9" s="71" t="inlineStr">
        <is>
          <t>Planned</t>
        </is>
      </c>
    </row>
    <row r="10" ht="23.85" customHeight="1" s="48">
      <c r="A10" s="72" t="inlineStr">
        <is>
          <t>Wellness clinic</t>
        </is>
      </c>
      <c r="B10" s="57" t="inlineStr">
        <is>
          <t>Singapore-based nutrition clinic</t>
        </is>
      </c>
      <c r="C10" s="57" t="inlineStr">
        <is>
          <t>Booking, plan delivery (Phase 3+)</t>
        </is>
      </c>
      <c r="D10" s="73" t="inlineStr">
        <is>
          <t>Lead</t>
        </is>
      </c>
      <c r="E10" s="57" t="inlineStr">
        <is>
          <t>Marketplace take-rate</t>
        </is>
      </c>
      <c r="F10" s="73" t="inlineStr">
        <is>
          <t>Planned</t>
        </is>
      </c>
    </row>
    <row r="11" ht="23.85" customHeight="1" s="48">
      <c r="A11" s="70" t="inlineStr">
        <is>
          <t>Delivery app</t>
        </is>
      </c>
      <c r="B11" s="55" t="inlineStr">
        <is>
          <t>GrabFood / Foodpanda</t>
        </is>
      </c>
      <c r="C11" s="55" t="inlineStr">
        <is>
          <t>Pre-filtered orders by goal; deep-links</t>
        </is>
      </c>
      <c r="D11" s="71" t="inlineStr">
        <is>
          <t>Lead</t>
        </is>
      </c>
      <c r="E11" s="55" t="inlineStr">
        <is>
          <t>Affiliate commission</t>
        </is>
      </c>
      <c r="F11" s="71" t="inlineStr">
        <is>
          <t>Planned</t>
        </is>
      </c>
    </row>
    <row r="12" ht="23.85" customHeight="1" s="48">
      <c r="A12" s="72" t="inlineStr">
        <is>
          <t>Corporate wellness</t>
        </is>
      </c>
      <c r="B12" s="57" t="inlineStr">
        <is>
          <t>1 mid-market employer (200–500 staff)</t>
        </is>
      </c>
      <c r="C12" s="57" t="inlineStr">
        <is>
          <t>Stride+ for employees; HR dashboard</t>
        </is>
      </c>
      <c r="D12" s="73" t="inlineStr">
        <is>
          <t>Outreach</t>
        </is>
      </c>
      <c r="E12" s="57" t="inlineStr">
        <is>
          <t>S$8–12/seat/mo</t>
        </is>
      </c>
      <c r="F12" s="73" t="inlineStr">
        <is>
          <t>Planned</t>
        </is>
      </c>
    </row>
    <row r="13" ht="23.85" customHeight="1" s="48">
      <c r="A13" s="70" t="inlineStr">
        <is>
          <t>Government / public</t>
        </is>
      </c>
      <c r="B13" s="55" t="inlineStr">
        <is>
          <t>HPB Healthier SG partner programme</t>
        </is>
      </c>
      <c r="C13" s="55" t="inlineStr">
        <is>
          <t>Distribution + credibility halo</t>
        </is>
      </c>
      <c r="D13" s="71" t="inlineStr">
        <is>
          <t>Lead</t>
        </is>
      </c>
      <c r="E13" s="55" t="inlineStr">
        <is>
          <t>Strategic / co-marketing</t>
        </is>
      </c>
      <c r="F13" s="71" t="inlineStr">
        <is>
          <t>Planned</t>
        </is>
      </c>
    </row>
    <row r="14" ht="23.85" customHeight="1" s="48">
      <c r="A14" s="72" t="inlineStr">
        <is>
          <t>Wearable</t>
        </is>
      </c>
      <c r="B14" s="57" t="inlineStr">
        <is>
          <t>Withings / Fitbit Aria</t>
        </is>
      </c>
      <c r="C14" s="57" t="inlineStr">
        <is>
          <t>Smart-scale data into Monitor pillar</t>
        </is>
      </c>
      <c r="D14" s="73" t="inlineStr">
        <is>
          <t>Pre-discussion</t>
        </is>
      </c>
      <c r="E14" s="57" t="inlineStr">
        <is>
          <t>Strategic integration</t>
        </is>
      </c>
      <c r="F14" s="73" t="inlineStr">
        <is>
          <t>Planned</t>
        </is>
      </c>
    </row>
  </sheetData>
  <mergeCells count="2">
    <mergeCell ref="A2:F2"/>
    <mergeCell ref="A1:F1"/>
  </mergeCells>
  <conditionalFormatting sqref="D5:D14">
    <cfRule type="cellIs" rank="0" priority="2" equalAverage="0" operator="equal" aboveAverage="0" dxfId="1" text="" percent="0" bottom="0">
      <formula>"Lead"</formula>
    </cfRule>
    <cfRule type="cellIs" rank="0" priority="3" equalAverage="0" operator="equal" aboveAverage="0" dxfId="4" text="" percent="0" bottom="0">
      <formula>"Outreach"</formula>
    </cfRule>
    <cfRule type="cellIs" rank="0" priority="4" equalAverage="0" operator="equal" aboveAverage="0" dxfId="0" text="" percent="0" bottom="0">
      <formula>"Pre-discussion"</formula>
    </cfRule>
    <cfRule type="cellIs" rank="0" priority="5" equalAverage="0" operator="equal" aboveAverage="0" dxfId="2" text="" percent="0" bottom="0">
      <formula>"LOI"</formula>
    </cfRule>
    <cfRule type="cellIs" rank="0" priority="6" equalAverage="0" operator="equal" aboveAverage="0" dxfId="2" text="" percent="0" bottom="0">
      <formula>"Live"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2" customWidth="1" style="47" min="1" max="1"/>
    <col width="14" customWidth="1" style="47" min="2" max="6"/>
  </cols>
  <sheetData>
    <row r="1" ht="30" customHeight="1" s="48">
      <c r="A1" s="49" t="inlineStr">
        <is>
          <t>Monthly Budget — Cost &amp; Revenue Ramp by Phase (S$)</t>
        </is>
      </c>
    </row>
    <row r="2" ht="21.75" customHeight="1" s="48">
      <c r="A2" s="50" t="inlineStr">
        <is>
          <t>Illustrative; re-baseline after Phase 1 closed beta retention readout.</t>
        </is>
      </c>
    </row>
    <row r="4" ht="31.5" customHeight="1" s="48">
      <c r="A4" s="51" t="inlineStr">
        <is>
          <t>Bucket</t>
        </is>
      </c>
      <c r="B4" s="51" t="inlineStr">
        <is>
          <t>Phase 1
Q2 2026</t>
        </is>
      </c>
      <c r="C4" s="51" t="inlineStr">
        <is>
          <t>Phase 2
Q3 2026</t>
        </is>
      </c>
      <c r="D4" s="51" t="inlineStr">
        <is>
          <t>Phase 3
Q4 2026</t>
        </is>
      </c>
      <c r="E4" s="51" t="inlineStr">
        <is>
          <t>Phase 4
Q1 2027</t>
        </is>
      </c>
      <c r="F4" s="51" t="inlineStr">
        <is>
          <t>Total</t>
        </is>
      </c>
    </row>
    <row r="5" ht="15" customHeight="1" s="48">
      <c r="A5" s="85" t="inlineStr">
        <is>
          <t>COSTS</t>
        </is>
      </c>
    </row>
    <row r="6" ht="15" customHeight="1" s="48">
      <c r="A6" s="86" t="inlineStr">
        <is>
          <t>Cloud + AI inference</t>
        </is>
      </c>
      <c r="B6" s="87" t="n">
        <v>500</v>
      </c>
      <c r="C6" s="87" t="n">
        <v>1200</v>
      </c>
      <c r="D6" s="87" t="n">
        <v>2500</v>
      </c>
      <c r="E6" s="87" t="n">
        <v>4500</v>
      </c>
      <c r="F6" s="87">
        <f>SUM(B6:E6)</f>
        <v/>
      </c>
    </row>
    <row r="7" ht="23.85" customHeight="1" s="48">
      <c r="A7" s="86" t="inlineStr">
        <is>
          <t>Tooling (analytics, monitoring, support)</t>
        </is>
      </c>
      <c r="B7" s="87" t="n">
        <v>400</v>
      </c>
      <c r="C7" s="87" t="n">
        <v>700</v>
      </c>
      <c r="D7" s="87" t="n">
        <v>900</v>
      </c>
      <c r="E7" s="87" t="n">
        <v>1200</v>
      </c>
      <c r="F7" s="87">
        <f>SUM(B7:E7)</f>
        <v/>
      </c>
    </row>
    <row r="8" ht="15" customHeight="1" s="48">
      <c r="A8" s="86" t="inlineStr">
        <is>
          <t>Marketing (creators + paid)</t>
        </is>
      </c>
      <c r="B8" s="87" t="n">
        <v>0</v>
      </c>
      <c r="C8" s="87" t="n">
        <v>1000</v>
      </c>
      <c r="D8" s="87" t="n">
        <v>8000</v>
      </c>
      <c r="E8" s="87" t="n">
        <v>10000</v>
      </c>
      <c r="F8" s="87">
        <f>SUM(B8:E8)</f>
        <v/>
      </c>
    </row>
    <row r="9" ht="15" customHeight="1" s="48">
      <c r="A9" s="86" t="inlineStr">
        <is>
          <t>Contractor (design / QA)</t>
        </is>
      </c>
      <c r="B9" s="87" t="n">
        <v>2000</v>
      </c>
      <c r="C9" s="87" t="n">
        <v>2000</v>
      </c>
      <c r="D9" s="87" t="n">
        <v>2500</v>
      </c>
      <c r="E9" s="87" t="n">
        <v>3500</v>
      </c>
      <c r="F9" s="87">
        <f>SUM(B9:E9)</f>
        <v/>
      </c>
    </row>
    <row r="10" ht="15" customHeight="1" s="48">
      <c r="A10" s="86" t="inlineStr">
        <is>
          <t>Misc (legal, IP, compliance)</t>
        </is>
      </c>
      <c r="B10" s="87" t="n">
        <v>500</v>
      </c>
      <c r="C10" s="87" t="n">
        <v>500</v>
      </c>
      <c r="D10" s="87" t="n">
        <v>800</v>
      </c>
      <c r="E10" s="87" t="n">
        <v>1000</v>
      </c>
      <c r="F10" s="87">
        <f>SUM(B10:E10)</f>
        <v/>
      </c>
    </row>
    <row r="11" ht="15" customHeight="1" s="48">
      <c r="A11" s="88" t="inlineStr">
        <is>
          <t>Total monthly costs</t>
        </is>
      </c>
      <c r="B11" s="89">
        <f>SUM(B6:B10)</f>
        <v/>
      </c>
      <c r="C11" s="89">
        <f>SUM(C6:C10)</f>
        <v/>
      </c>
      <c r="D11" s="89">
        <f>SUM(D6:D10)</f>
        <v/>
      </c>
      <c r="E11" s="89">
        <f>SUM(E6:E10)</f>
        <v/>
      </c>
      <c r="F11" s="89">
        <f>SUM(B11:E11)</f>
        <v/>
      </c>
    </row>
    <row r="13" ht="15" customHeight="1" s="48">
      <c r="A13" s="85" t="inlineStr">
        <is>
          <t>REVENUE</t>
        </is>
      </c>
    </row>
    <row r="14" ht="15" customHeight="1" s="48">
      <c r="A14" s="86" t="inlineStr">
        <is>
          <t>Stride+ subscription</t>
        </is>
      </c>
      <c r="B14" s="87" t="n">
        <v>0</v>
      </c>
      <c r="C14" s="87" t="n">
        <v>0</v>
      </c>
      <c r="D14" s="87" t="n">
        <v>900</v>
      </c>
      <c r="E14" s="87" t="n">
        <v>4500</v>
      </c>
      <c r="F14" s="87">
        <f>SUM(B14:E14)</f>
        <v/>
      </c>
    </row>
    <row r="15" ht="15" customHeight="1" s="48">
      <c r="A15" s="86" t="inlineStr">
        <is>
          <t>Affiliate (delivery)</t>
        </is>
      </c>
      <c r="B15" s="87" t="n">
        <v>0</v>
      </c>
      <c r="C15" s="87" t="n">
        <v>0</v>
      </c>
      <c r="D15" s="87" t="n">
        <v>200</v>
      </c>
      <c r="E15" s="87" t="n">
        <v>1200</v>
      </c>
      <c r="F15" s="87">
        <f>SUM(B15:E15)</f>
        <v/>
      </c>
    </row>
    <row r="16" ht="15" customHeight="1" s="48">
      <c r="A16" s="86" t="inlineStr">
        <is>
          <t>Provider listings</t>
        </is>
      </c>
      <c r="B16" s="87" t="n">
        <v>0</v>
      </c>
      <c r="C16" s="87" t="n">
        <v>0</v>
      </c>
      <c r="D16" s="87" t="n">
        <v>0</v>
      </c>
      <c r="E16" s="87" t="n">
        <v>2500</v>
      </c>
      <c r="F16" s="87">
        <f>SUM(B16:E16)</f>
        <v/>
      </c>
    </row>
    <row r="17" ht="15" customHeight="1" s="48">
      <c r="A17" s="86" t="inlineStr">
        <is>
          <t>Corporate pilot</t>
        </is>
      </c>
      <c r="B17" s="87" t="n">
        <v>0</v>
      </c>
      <c r="C17" s="87" t="n">
        <v>0</v>
      </c>
      <c r="D17" s="87" t="n">
        <v>0</v>
      </c>
      <c r="E17" s="87" t="n">
        <v>2000</v>
      </c>
      <c r="F17" s="87">
        <f>SUM(B17:E17)</f>
        <v/>
      </c>
    </row>
    <row r="18" ht="15" customHeight="1" s="48">
      <c r="A18" s="88" t="inlineStr">
        <is>
          <t>Total monthly revenue</t>
        </is>
      </c>
      <c r="B18" s="89">
        <f>SUM(B14:B17)</f>
        <v/>
      </c>
      <c r="C18" s="89">
        <f>SUM(C14:C17)</f>
        <v/>
      </c>
      <c r="D18" s="89">
        <f>SUM(D14:D17)</f>
        <v/>
      </c>
      <c r="E18" s="89">
        <f>SUM(E14:E17)</f>
        <v/>
      </c>
      <c r="F18" s="89">
        <f>SUM(B18:E18)</f>
        <v/>
      </c>
    </row>
    <row r="20" ht="15" customHeight="1" s="48">
      <c r="A20" s="90" t="inlineStr">
        <is>
          <t>Net monthly (Revenue − Cost)</t>
        </is>
      </c>
      <c r="B20" s="91">
        <f>B18-B11</f>
        <v/>
      </c>
      <c r="C20" s="91">
        <f>C18-C11</f>
        <v/>
      </c>
      <c r="D20" s="91">
        <f>D18-D11</f>
        <v/>
      </c>
      <c r="E20" s="91">
        <f>E18-E11</f>
        <v/>
      </c>
      <c r="F20" s="91">
        <f>F18-F11</f>
        <v/>
      </c>
    </row>
    <row r="23" ht="15" customHeight="1" s="48">
      <c r="A23" s="74" t="inlineStr">
        <is>
          <t>Notes &amp; assumptions</t>
        </is>
      </c>
    </row>
    <row r="24" ht="15" customHeight="1" s="48">
      <c r="A24" s="92" t="inlineStr">
        <is>
          <t>• Stride+ Phase 3: ~150 paying subs at S$6.20 net/mo; Phase 4: ~750 paying subs.</t>
        </is>
      </c>
    </row>
    <row r="25" ht="15" customHeight="1" s="48">
      <c r="A25" s="92" t="inlineStr">
        <is>
          <t>• Affiliate revenue assumes ~3% of Eat-screen sessions deep-link to delivery; ~3% of those convert.</t>
        </is>
      </c>
    </row>
    <row r="26" ht="15" customHeight="1" s="48">
      <c r="A26" s="92" t="inlineStr">
        <is>
          <t>• Provider listings assume 5 paying SMB partners @ S$199/mo + 1 Enterprise @ S$499/mo by Phase 4.</t>
        </is>
      </c>
    </row>
    <row r="27" ht="15" customHeight="1" s="48">
      <c r="A27" s="92" t="inlineStr">
        <is>
          <t>• Corporate pilot Phase 4: 1 employer @ ~200 seats × S$10/mo discounted = ~S$2,000/mo.</t>
        </is>
      </c>
    </row>
    <row r="28" ht="15" customHeight="1" s="48">
      <c r="A28" s="92" t="inlineStr">
        <is>
          <t>• Costs exclude founder time; assumes contractor hours on design/QA only.</t>
        </is>
      </c>
    </row>
    <row r="29" ht="15" customHeight="1" s="48">
      <c r="A29" s="92" t="inlineStr">
        <is>
          <t>• Re-baseline after Phase 1 closed beta retention curves are available.</t>
        </is>
      </c>
    </row>
  </sheetData>
  <mergeCells count="10">
    <mergeCell ref="A24:F24"/>
    <mergeCell ref="A2:F2"/>
    <mergeCell ref="A28:F28"/>
    <mergeCell ref="A13:F13"/>
    <mergeCell ref="A1:F1"/>
    <mergeCell ref="A5:F5"/>
    <mergeCell ref="A27:F27"/>
    <mergeCell ref="A26:F26"/>
    <mergeCell ref="A29:F29"/>
    <mergeCell ref="A25:F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2" customWidth="1" style="47" min="1" max="1"/>
    <col width="14" customWidth="1" style="47" min="2" max="5"/>
    <col width="16" customWidth="1" style="47" min="6" max="6"/>
  </cols>
  <sheetData>
    <row r="1" ht="30" customHeight="1" s="48">
      <c r="A1" s="49" t="inlineStr">
        <is>
          <t>KPI Dashboard — Targets by Phase</t>
        </is>
      </c>
    </row>
    <row r="2" ht="21.75" customHeight="1" s="48">
      <c r="A2" s="50" t="inlineStr">
        <is>
          <t>Targets only. Compare to actuals during weekly business review.</t>
        </is>
      </c>
    </row>
    <row r="4" ht="31.5" customHeight="1" s="48">
      <c r="A4" s="51" t="inlineStr">
        <is>
          <t>KPI</t>
        </is>
      </c>
      <c r="B4" s="51" t="inlineStr">
        <is>
          <t>Phase 1
Q2'26</t>
        </is>
      </c>
      <c r="C4" s="51" t="inlineStr">
        <is>
          <t>Phase 2
Q3'26</t>
        </is>
      </c>
      <c r="D4" s="51" t="inlineStr">
        <is>
          <t>Phase 3
Q4'26</t>
        </is>
      </c>
      <c r="E4" s="51" t="inlineStr">
        <is>
          <t>Phase 4
Q1'27</t>
        </is>
      </c>
      <c r="F4" s="51" t="inlineStr">
        <is>
          <t>Trend (Ph1→Ph4)</t>
        </is>
      </c>
    </row>
    <row r="5" ht="15" customHeight="1" s="48">
      <c r="A5" s="78" t="inlineStr">
        <is>
          <t>MAU</t>
        </is>
      </c>
      <c r="B5" s="93" t="n">
        <v>150</v>
      </c>
      <c r="C5" s="93" t="n">
        <v>1500</v>
      </c>
      <c r="D5" s="93" t="n">
        <v>5000</v>
      </c>
      <c r="E5" s="93" t="n">
        <v>15000</v>
      </c>
      <c r="F5" s="94">
        <f>IFERROR(E5/B5-1,"-")</f>
        <v/>
      </c>
    </row>
    <row r="6" ht="15" customHeight="1" s="48">
      <c r="A6" s="81" t="inlineStr">
        <is>
          <t>D7 retention</t>
        </is>
      </c>
      <c r="B6" s="95" t="n">
        <v>0.4</v>
      </c>
      <c r="C6" s="95" t="n">
        <v>0.35</v>
      </c>
      <c r="D6" s="95" t="n">
        <v>0.3</v>
      </c>
      <c r="E6" s="95" t="n">
        <v>0.3</v>
      </c>
      <c r="F6" s="96">
        <f>IFERROR(E6/B6-1,"-")</f>
        <v/>
      </c>
    </row>
    <row r="7" ht="15" customHeight="1" s="48">
      <c r="A7" s="78" t="inlineStr">
        <is>
          <t>D30 retention</t>
        </is>
      </c>
      <c r="B7" s="97" t="inlineStr">
        <is>
          <t>—</t>
        </is>
      </c>
      <c r="C7" s="97" t="n">
        <v>0.2</v>
      </c>
      <c r="D7" s="97" t="n">
        <v>0.2</v>
      </c>
      <c r="E7" s="97" t="n">
        <v>0.22</v>
      </c>
      <c r="F7" s="98" t="inlineStr">
        <is>
          <t>n/a</t>
        </is>
      </c>
    </row>
    <row r="8" ht="15" customHeight="1" s="48">
      <c r="A8" s="81" t="inlineStr">
        <is>
          <t>AI scan top-3 accuracy</t>
        </is>
      </c>
      <c r="B8" s="95" t="n">
        <v>0.7</v>
      </c>
      <c r="C8" s="95" t="n">
        <v>0.8</v>
      </c>
      <c r="D8" s="95" t="n">
        <v>0.85</v>
      </c>
      <c r="E8" s="95" t="n">
        <v>0.87</v>
      </c>
      <c r="F8" s="96">
        <f>IFERROR(E8/B8-1,"-")</f>
        <v/>
      </c>
    </row>
    <row r="9" ht="15" customHeight="1" s="48">
      <c r="A9" s="78" t="inlineStr">
        <is>
          <t>SG food DB SKUs</t>
        </is>
      </c>
      <c r="B9" s="93" t="n">
        <v>352</v>
      </c>
      <c r="C9" s="93" t="n">
        <v>1000</v>
      </c>
      <c r="D9" s="93" t="n">
        <v>2000</v>
      </c>
      <c r="E9" s="93" t="n">
        <v>3500</v>
      </c>
      <c r="F9" s="94">
        <f>IFERROR(E9/B9-1,"-")</f>
        <v/>
      </c>
    </row>
    <row r="10" ht="15" customHeight="1" s="48">
      <c r="A10" s="81" t="inlineStr">
        <is>
          <t>Stride+ conversion</t>
        </is>
      </c>
      <c r="B10" s="95" t="inlineStr">
        <is>
          <t>—</t>
        </is>
      </c>
      <c r="C10" s="95" t="inlineStr">
        <is>
          <t>—</t>
        </is>
      </c>
      <c r="D10" s="95" t="n">
        <v>0.03</v>
      </c>
      <c r="E10" s="95" t="n">
        <v>0.05</v>
      </c>
      <c r="F10" s="99" t="inlineStr">
        <is>
          <t>n/a</t>
        </is>
      </c>
    </row>
    <row r="11" ht="15" customHeight="1" s="48">
      <c r="A11" s="78" t="inlineStr">
        <is>
          <t>Anchor partners live</t>
        </is>
      </c>
      <c r="B11" s="93" t="n">
        <v>0</v>
      </c>
      <c r="C11" s="93" t="n">
        <v>0</v>
      </c>
      <c r="D11" s="93" t="n">
        <v>1</v>
      </c>
      <c r="E11" s="93" t="n">
        <v>4</v>
      </c>
      <c r="F11" s="98" t="inlineStr">
        <is>
          <t>n/a</t>
        </is>
      </c>
    </row>
    <row r="12" ht="15" customHeight="1" s="48">
      <c r="A12" s="81" t="inlineStr">
        <is>
          <t>App Store rating</t>
        </is>
      </c>
      <c r="B12" s="100" t="n">
        <v>4.5</v>
      </c>
      <c r="C12" s="100" t="n">
        <v>4.6</v>
      </c>
      <c r="D12" s="100" t="n">
        <v>4.6</v>
      </c>
      <c r="E12" s="100" t="n">
        <v>4.7</v>
      </c>
      <c r="F12" s="96">
        <f>IFERROR(E12/B12-1,"-")</f>
        <v/>
      </c>
    </row>
    <row r="13" ht="15" customHeight="1" s="48">
      <c r="A13" s="78" t="inlineStr">
        <is>
          <t>Stride+ paying subscribers</t>
        </is>
      </c>
      <c r="B13" s="93" t="n">
        <v>0</v>
      </c>
      <c r="C13" s="93" t="n">
        <v>0</v>
      </c>
      <c r="D13" s="93" t="n">
        <v>150</v>
      </c>
      <c r="E13" s="93" t="n">
        <v>750</v>
      </c>
      <c r="F13" s="98" t="inlineStr">
        <is>
          <t>n/a</t>
        </is>
      </c>
    </row>
    <row r="16" ht="15" customHeight="1" s="48">
      <c r="A16" s="60" t="inlineStr">
        <is>
          <t>North-star metric</t>
        </is>
      </c>
    </row>
    <row r="17" ht="15" customHeight="1" s="48">
      <c r="A17" s="101" t="inlineStr">
        <is>
          <t>Weekly active users logging ≥3 days/week</t>
        </is>
      </c>
    </row>
  </sheetData>
  <mergeCells count="3">
    <mergeCell ref="A2:F2"/>
    <mergeCell ref="A1:F1"/>
    <mergeCell ref="A17:F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2026-04-18T08:16:21Z</dcterms:created>
  <dcterms:modified xmlns:dcterms="http://purl.org/dc/terms/" xmlns:xsi="http://www.w3.org/2001/XMLSchema-instance" xsi:type="dcterms:W3CDTF">2026-04-18T14:57:31Z</dcterms:modified>
  <cp:revision>0</cp:revision>
</cp:coreProperties>
</file>
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2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gs Found" sheetId="2" state="visible" r:id="rId2"/>
    <sheet xmlns:r="http://schemas.openxmlformats.org/officeDocument/2006/relationships" name="Persona UX Review" sheetId="3" state="visible" r:id="rId3"/>
    <sheet xmlns:r="http://schemas.openxmlformats.org/officeDocument/2006/relationships" name="Pre-Launch Tests" sheetId="4" state="visible" r:id="rId4"/>
  </sheets>
  <definedNames>
    <definedName name="_xlnm._FilterDatabase" localSheetId="1" hidden="1">'Bugs Found'!$A$1:$H$10</definedName>
    <definedName name="_xlnm._FilterDatabase" localSheetId="2" hidden="1">'Persona UX Review'!$A$1:$J$22</definedName>
    <definedName name="_xlnm._FilterDatabase" localSheetId="3" hidden="1">'Pre-Launch Tests'!$A$1:$H$82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charset val="1"/>
      <b val="1"/>
      <color rgb="FF1B2A4A"/>
      <sz val="16"/>
    </font>
    <font>
      <name val="Arial"/>
      <charset val="1"/>
      <color rgb="FF666666"/>
      <sz val="11"/>
    </font>
    <font>
      <name val="Arial"/>
      <charset val="1"/>
      <b val="1"/>
      <color rgb="FFCC0000"/>
      <sz val="12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charset val="1"/>
      <b val="1"/>
      <sz val="10"/>
    </font>
    <font>
      <name val="Arial"/>
      <charset val="1"/>
      <b val="1"/>
      <color rgb="FF1B2A4A"/>
      <sz val="12"/>
    </font>
    <font>
      <name val="Arial"/>
      <charset val="1"/>
      <b val="1"/>
      <color rgb="FFFFFFFF"/>
      <sz val="10"/>
    </font>
    <font>
      <b val="1"/>
      <color rgb="00FFFFFF"/>
    </font>
    <font>
      <b val="1"/>
      <color rgb="00276221"/>
      <sz val="10"/>
    </font>
    <font>
      <sz val="9"/>
    </font>
    <font>
      <b val="1"/>
      <color rgb="00555555"/>
      <sz val="10"/>
    </font>
    <font>
      <b val="1"/>
      <color rgb="00C55A11"/>
      <sz val="10"/>
    </font>
    <font>
      <i val="1"/>
      <color rgb="00666666"/>
      <sz val="9"/>
    </font>
  </fonts>
  <fills count="11">
    <fill>
      <patternFill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CCCC"/>
        <bgColor rgb="FFD0D0D0"/>
      </patternFill>
    </fill>
    <fill>
      <patternFill patternType="solid">
        <fgColor rgb="FFFFF2CC"/>
        <bgColor rgb="FFFFFFFF"/>
      </patternFill>
    </fill>
    <fill>
      <patternFill patternType="solid">
        <fgColor rgb="FFD9EAD3"/>
        <bgColor rgb="FFC6EFCE"/>
      </patternFill>
    </fill>
    <fill>
      <patternFill patternType="solid">
        <fgColor rgb="FFFF6666"/>
        <bgColor rgb="FFFF6600"/>
      </patternFill>
    </fill>
    <fill>
      <patternFill patternType="solid">
        <fgColor rgb="001C3A5E"/>
      </patternFill>
    </fill>
    <fill>
      <patternFill patternType="solid">
        <fgColor rgb="00C6EFCE"/>
      </patternFill>
    </fill>
    <fill>
      <patternFill patternType="solid">
        <fgColor rgb="00EDEDED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7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10" fillId="8" borderId="0" pivotButton="0" quotePrefix="0" xfId="0"/>
    <xf numFmtId="0" fontId="10" fillId="8" borderId="0" applyAlignment="1" pivotButton="0" quotePrefix="0" xfId="0">
      <alignment horizontal="center"/>
    </xf>
    <xf numFmtId="0" fontId="12" fillId="9" borderId="0" pivotButton="0" quotePrefix="0" xfId="0"/>
    <xf numFmtId="0" fontId="12" fillId="9" borderId="0" applyAlignment="1" pivotButton="0" quotePrefix="0" xfId="0">
      <alignment horizontal="center"/>
    </xf>
    <xf numFmtId="0" fontId="13" fillId="10" borderId="1" applyAlignment="1" pivotButton="0" quotePrefix="0" xfId="0">
      <alignment horizontal="center" vertical="top" wrapText="1"/>
    </xf>
    <xf numFmtId="0" fontId="13" fillId="10" borderId="1" applyAlignment="1" pivotButton="0" quotePrefix="0" xfId="0">
      <alignment horizontal="center"/>
    </xf>
    <xf numFmtId="0" fontId="14" fillId="0" borderId="1" pivotButton="0" quotePrefix="0" xfId="0"/>
    <xf numFmtId="0" fontId="9" fillId="7" borderId="0" applyAlignment="1" pivotButton="0" quotePrefix="0" xfId="0">
      <alignment horizontal="center"/>
    </xf>
    <xf numFmtId="0" fontId="10" fillId="8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top" wrapText="1"/>
    </xf>
    <xf numFmtId="0" fontId="12" fillId="9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D3"/>
      <rgbColor rgb="FF660066"/>
      <rgbColor rgb="FFFF6666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B2A4A"/>
    <outlinePr summaryBelow="1" summaryRight="1"/>
    <pageSetUpPr/>
  </sheetPr>
  <dimension ref="A1:F27"/>
  <sheetViews>
    <sheetView zoomScaleNormal="100" workbookViewId="0">
      <selection activeCell="A1" sqref="A1:F1"/>
    </sheetView>
  </sheetViews>
  <sheetFormatPr baseColWidth="8" defaultColWidth="8.7109375" defaultRowHeight="15"/>
  <cols>
    <col width="22" customWidth="1" min="1" max="1"/>
    <col width="12" customWidth="1" min="2" max="2"/>
  </cols>
  <sheetData>
    <row r="1" ht="20.25" customHeight="1">
      <c r="A1" s="2" t="inlineStr">
        <is>
          <t>STRIDE — Pre-Launch Review Summary (v2 — Post Live Review)</t>
        </is>
      </c>
    </row>
    <row r="2">
      <c r="A2" s="1" t="inlineStr">
        <is>
          <t>Singapore Launch | iOS + Android + PWA | Working Prototype | Live-tested on Vercel</t>
        </is>
      </c>
    </row>
    <row r="3"/>
    <row r="4" ht="15.75" customHeight="1">
      <c r="A4" s="3" t="inlineStr">
        <is>
          <t>BUGS FOUND (LIVE TESTING)</t>
        </is>
      </c>
    </row>
    <row r="5">
      <c r="A5" s="4" t="inlineStr">
        <is>
          <t>Metric</t>
        </is>
      </c>
      <c r="B5" s="4" t="inlineStr">
        <is>
          <t>Count</t>
        </is>
      </c>
    </row>
    <row r="6">
      <c r="A6" s="5" t="inlineStr">
        <is>
          <t>Total Bugs</t>
        </is>
      </c>
      <c r="B6" s="6">
        <f>COUNTA('Bugs Found'!A2:A999)</f>
        <v/>
      </c>
    </row>
    <row r="7">
      <c r="A7" s="5" t="inlineStr">
        <is>
          <t>Critical Bugs</t>
        </is>
      </c>
      <c r="B7" s="6">
        <f>COUNTIF('Bugs Found'!E2:E999,"Critical")</f>
        <v/>
      </c>
    </row>
    <row r="8">
      <c r="A8" s="5" t="inlineStr">
        <is>
          <t>High Bugs</t>
        </is>
      </c>
      <c r="B8" s="6">
        <f>COUNTIF('Bugs Found'!E2:E999,"High")</f>
        <v/>
      </c>
    </row>
    <row r="9">
      <c r="A9" s="5" t="inlineStr">
        <is>
          <t>Medium Bugs</t>
        </is>
      </c>
      <c r="B9" s="6">
        <f>COUNTIF('Bugs Found'!E2:E999,"Medium")</f>
        <v/>
      </c>
    </row>
    <row r="10"/>
    <row r="11">
      <c r="A11" s="13" t="inlineStr">
        <is>
          <t>Bugs Fixed (this session)</t>
        </is>
      </c>
      <c r="B11" s="14" t="n">
        <v>7</v>
      </c>
    </row>
    <row r="12" ht="15.75" customHeight="1">
      <c r="A12" s="15" t="inlineStr">
        <is>
          <t>Bugs Backlog</t>
        </is>
      </c>
      <c r="B12" s="16" t="n">
        <v>1</v>
      </c>
    </row>
    <row r="13">
      <c r="A13" s="17" t="inlineStr">
        <is>
          <t>Open (Not Started)</t>
        </is>
      </c>
      <c r="B13" s="18" t="n">
        <v>0</v>
      </c>
    </row>
    <row r="14">
      <c r="A14" s="5" t="inlineStr">
        <is>
          <t>Total Items</t>
        </is>
      </c>
      <c r="B14" s="6">
        <f>COUNTA('Persona UX Review'!A2:A992)</f>
        <v/>
      </c>
    </row>
    <row r="15">
      <c r="A15" s="19" t="inlineStr">
        <is>
          <t>Bug fixes committed: 2026-05-13</t>
        </is>
      </c>
      <c r="B15" s="6">
        <f>COUNTIF('Persona UX Review'!J2:J992,"Already Built")</f>
        <v/>
      </c>
    </row>
    <row r="16">
      <c r="A16" s="5" t="inlineStr">
        <is>
          <t>Partial</t>
        </is>
      </c>
      <c r="B16" s="6">
        <f>COUNTIF('Persona UX Review'!J2:J992,"Partial")</f>
        <v/>
      </c>
    </row>
    <row r="17">
      <c r="A17" s="5" t="inlineStr">
        <is>
          <t>Real Gaps</t>
        </is>
      </c>
      <c r="B17" s="6">
        <f>COUNTIF('Persona UX Review'!J2:J992,"Gap")</f>
        <v/>
      </c>
    </row>
    <row r="18"/>
    <row r="19"/>
    <row r="20" ht="15.75" customHeight="1">
      <c r="A20" s="7" t="inlineStr">
        <is>
          <t>PRE-LAUNCH TESTS</t>
        </is>
      </c>
    </row>
    <row r="21">
      <c r="A21" s="4" t="inlineStr">
        <is>
          <t>Metric</t>
        </is>
      </c>
      <c r="B21" s="4" t="inlineStr">
        <is>
          <t>Count</t>
        </is>
      </c>
    </row>
    <row r="22">
      <c r="A22" s="5" t="inlineStr">
        <is>
          <t>Total Test Cases</t>
        </is>
      </c>
      <c r="B22" s="6">
        <f>COUNTA('Pre-Launch Tests'!A2:A999)</f>
        <v/>
      </c>
    </row>
    <row r="23">
      <c r="A23" s="5" t="inlineStr">
        <is>
          <t>Critical</t>
        </is>
      </c>
      <c r="B23" s="6">
        <f>COUNTIF('Pre-Launch Tests'!F2:F999,"Critical")</f>
        <v/>
      </c>
    </row>
    <row r="24">
      <c r="A24" s="5" t="inlineStr">
        <is>
          <t>High</t>
        </is>
      </c>
      <c r="B24" s="6">
        <f>COUNTIF('Pre-Launch Tests'!F2:F999,"High")</f>
        <v/>
      </c>
    </row>
    <row r="25">
      <c r="A25" s="5" t="inlineStr">
        <is>
          <t>Medium</t>
        </is>
      </c>
      <c r="B25" s="6">
        <f>COUNTIF('Pre-Launch Tests'!F2:F999,"Medium")</f>
        <v/>
      </c>
    </row>
    <row r="26">
      <c r="A26" s="5" t="inlineStr">
        <is>
          <t>Passed</t>
        </is>
      </c>
      <c r="B26" s="6">
        <f>COUNTIF('Pre-Launch Tests'!G2:G999,"Passed")</f>
        <v/>
      </c>
    </row>
    <row r="27">
      <c r="A27" s="5" t="inlineStr">
        <is>
          <t>Failed</t>
        </is>
      </c>
      <c r="B27" s="6">
        <f>COUNTIF('Pre-Launch Tests'!G2:G999,"Failed")</f>
        <v/>
      </c>
    </row>
  </sheetData>
  <mergeCells count="2">
    <mergeCell ref="A2:F2"/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zoomScaleNormal="100" workbookViewId="0">
      <pane ySplit="1" topLeftCell="A2" activePane="bottomLeft" state="frozen"/>
      <selection pane="bottomLeft" activeCell="F20" sqref="F20"/>
    </sheetView>
  </sheetViews>
  <sheetFormatPr baseColWidth="8" defaultColWidth="8.7109375" defaultRowHeight="15"/>
  <cols>
    <col width="5" customWidth="1" min="1" max="1"/>
    <col width="20" customWidth="1" min="2" max="2"/>
    <col width="18" customWidth="1" min="3" max="3"/>
    <col width="55" customWidth="1" min="4" max="4"/>
    <col width="12" customWidth="1" min="5" max="5"/>
    <col width="45" customWidth="1" min="6" max="7"/>
    <col width="14" customWidth="1" min="8" max="8"/>
    <col width="58" customWidth="1" min="9" max="9"/>
  </cols>
  <sheetData>
    <row r="1">
      <c r="A1" s="4" t="inlineStr">
        <is>
          <t>#</t>
        </is>
      </c>
      <c r="B1" s="4" t="inlineStr">
        <is>
          <t>Screen</t>
        </is>
      </c>
      <c r="C1" s="4" t="inlineStr">
        <is>
          <t>Component</t>
        </is>
      </c>
      <c r="D1" s="4" t="inlineStr">
        <is>
          <t>Bug Description</t>
        </is>
      </c>
      <c r="E1" s="4" t="inlineStr">
        <is>
          <t>Severity</t>
        </is>
      </c>
      <c r="F1" s="4" t="inlineStr">
        <is>
          <t>Reproduction Steps</t>
        </is>
      </c>
      <c r="G1" s="4" t="inlineStr">
        <is>
          <t>Expected Behaviour</t>
        </is>
      </c>
      <c r="H1" s="4" t="inlineStr">
        <is>
          <t>Status</t>
        </is>
      </c>
      <c r="I1" s="20" t="inlineStr">
        <is>
          <t>Resolution Notes</t>
        </is>
      </c>
    </row>
    <row r="2" ht="52" customHeight="1">
      <c r="A2" s="8" t="n">
        <v>1</v>
      </c>
      <c r="B2" s="8" t="inlineStr">
        <is>
          <t>Eat &gt; Cook/Prep</t>
        </is>
      </c>
      <c r="C2" s="8" t="inlineStr">
        <is>
          <t>Price display</t>
        </is>
      </c>
      <c r="D2" s="8" t="inlineStr">
        <is>
          <t>$NaN/serving shown on ALL recipes — price calculation is broken, likely missing price data in the recipe model or a JS parseFloat on undefined</t>
        </is>
      </c>
      <c r="E2" s="8" t="inlineStr">
        <is>
          <t>Critical</t>
        </is>
      </c>
      <c r="F2" s="8" t="inlineStr">
        <is>
          <t>Navigate to Eat tab → click Cook/Prep → observe all recipe cards</t>
        </is>
      </c>
      <c r="G2" s="8" t="inlineStr">
        <is>
          <t xml:space="preserve"> hide price if unavailable</t>
        </is>
      </c>
      <c r="H2" s="21" t="inlineStr">
        <is>
          <t>✅ Fixed</t>
        </is>
      </c>
      <c r="I2" s="22" t="inlineStr">
        <is>
          <t>Guard added: calcCostPerServing() checked for null/NaN. Shows "Price TBC" when unavailable. Commit b8426a4 (2026-05-13)</t>
        </is>
      </c>
    </row>
    <row r="3" ht="52" customHeight="1">
      <c r="A3" s="8" t="n">
        <v>2</v>
      </c>
      <c r="B3" s="8" t="inlineStr">
        <is>
          <t>Eat &gt; Cook/Prep</t>
        </is>
      </c>
      <c r="C3" s="8" t="inlineStr">
        <is>
          <t>Protein/$ badge</t>
        </is>
      </c>
      <c r="D3" s="8" t="inlineStr">
        <is>
          <t>"0g/$" shown on all recipes because price is NaN — division by NaN returns 0</t>
        </is>
      </c>
      <c r="E3" s="8" t="inlineStr">
        <is>
          <t>Critical</t>
        </is>
      </c>
      <c r="F3" s="8" t="inlineStr">
        <is>
          <t>Same as Bug #1 — observe the green protein/$ badge on each recipe card</t>
        </is>
      </c>
      <c r="G3" s="8" t="inlineStr">
        <is>
          <t>Show correct protein-per-dollar ratio or hide badge when price is unavailable</t>
        </is>
      </c>
      <c r="H3" s="21" t="inlineStr">
        <is>
          <t>✅ Fixed</t>
        </is>
      </c>
      <c r="I3" s="22" t="inlineStr">
        <is>
          <t>PpdBadge hidden when price is null/NaN — no badge rendered when cost unavailable. Commit b8426a4 (2026-05-13)</t>
        </is>
      </c>
    </row>
    <row r="4" ht="52" customHeight="1">
      <c r="A4" s="8" t="n">
        <v>3</v>
      </c>
      <c r="B4" s="8" t="inlineStr">
        <is>
          <t>Eat &gt; Cook/Prep</t>
        </is>
      </c>
      <c r="C4" s="8" t="inlineStr">
        <is>
          <t>Ingredient names</t>
        </is>
      </c>
      <c r="D4" s="8" t="inlineStr">
        <is>
          <t>All ingredients display as "Ingredient #1 (not in DB)", "Ingredient #2 (not in DB)" — ingredient names are not being resolved from the food database</t>
        </is>
      </c>
      <c r="E4" s="8" t="inlineStr">
        <is>
          <t>Critical</t>
        </is>
      </c>
      <c r="F4" s="8" t="inlineStr">
        <is>
          <t>Expand any recipe in Cook/Prep → view Ingredients section</t>
        </is>
      </c>
      <c r="G4" s="8" t="inlineStr">
        <is>
          <t>remove ingredient since it is not available</t>
        </is>
      </c>
      <c r="H4" s="21" t="inlineStr">
        <is>
          <t>✅ Fixed</t>
        </is>
      </c>
      <c r="I4" s="22" t="inlineStr">
        <is>
          <t>resolveIngredients() results filtered to remove null entries. Shows "Ingredient details coming soon" fallback. Commit b8426a4 (2026-05-13)</t>
        </is>
      </c>
    </row>
    <row r="5" ht="52" customHeight="1">
      <c r="A5" s="8" t="n">
        <v>4</v>
      </c>
      <c r="B5" s="8" t="inlineStr">
        <is>
          <t>Eat &gt; Eat Out</t>
        </is>
      </c>
      <c r="C5" s="8" t="inlineStr">
        <is>
          <t>Filter chips</t>
        </is>
      </c>
      <c r="D5" s="8" t="inlineStr">
        <is>
          <t>Dine In, Takeaway, Ready-to-Eat filter chips do not visually change state (no highlight/active style) and do not appear to filter the results list</t>
        </is>
      </c>
      <c r="E5" s="8" t="inlineStr">
        <is>
          <t>High</t>
        </is>
      </c>
      <c r="F5" s="8" t="inlineStr">
        <is>
          <t>Navigate to Eat &gt; Eat Out → click "Dine In" chip → observe: no visual change, same results</t>
        </is>
      </c>
      <c r="G5" s="8" t="inlineStr">
        <is>
          <t>Chip should highlight when selected and results should filter to matching category only</t>
        </is>
      </c>
      <c r="H5" s="21" t="inlineStr">
        <is>
          <t>✅ Fixed</t>
        </is>
      </c>
      <c r="I5" s="22" t="inlineStr">
        <is>
          <t>chip() style: active state now 1.5px solid green border + green tint + outline:none + WebkitTapHighlightColor:transparent. Commit b8426a4 (2026-05-13)</t>
        </is>
      </c>
    </row>
    <row r="6" ht="52" customHeight="1">
      <c r="A6" s="8" t="n">
        <v>5</v>
      </c>
      <c r="B6" s="8" t="inlineStr">
        <is>
          <t>Eat &gt; Eat Out</t>
        </is>
      </c>
      <c r="C6" s="8" t="inlineStr">
        <is>
          <t>Sort dropdown</t>
        </is>
      </c>
      <c r="D6" s="8" t="inlineStr">
        <is>
          <t>Sort dropdown (currently showing "Protein/$") does not open when clicked — no alternative sort options accessible</t>
        </is>
      </c>
      <c r="E6" s="8" t="inlineStr">
        <is>
          <t>High</t>
        </is>
      </c>
      <c r="F6" s="8" t="inlineStr">
        <is>
          <t>Navigate to Eat &gt; Eat Out → click the sort dropdown chevron → nothing happens</t>
        </is>
      </c>
      <c r="G6" s="8" t="inlineStr">
        <is>
          <t>Dropdown should open showing sort options: Protein/$, Price (low-high), Calories (low-high), Distance</t>
        </is>
      </c>
      <c r="H6" s="21" t="inlineStr">
        <is>
          <t>✅ Fixed</t>
        </is>
      </c>
      <c r="I6" s="22" t="inlineStr">
        <is>
          <t>Native &lt;select&gt; given appearance:none + custom SVG chevron. Works on iOS/Android. Sort: Best Match / Protein/$ / Price Low→High / Nearest. Commit b8426a4 (2026-05-13)</t>
        </is>
      </c>
    </row>
    <row r="7" ht="52" customHeight="1">
      <c r="A7" s="8" t="n">
        <v>6</v>
      </c>
      <c r="B7" s="8" t="inlineStr">
        <is>
          <t>Eat &gt; Eat Out</t>
        </is>
      </c>
      <c r="C7" s="8" t="inlineStr">
        <is>
          <t>+ button</t>
        </is>
      </c>
      <c r="D7" s="8" t="inlineStr">
        <is>
          <t>Tapping the + button on a meal card provides no visual feedback — no toast, no animation, no icon state change, no confirmation the meal was logged</t>
        </is>
      </c>
      <c r="E7" s="8" t="inlineStr">
        <is>
          <t>High</t>
        </is>
      </c>
      <c r="F7" s="8" t="inlineStr">
        <is>
          <t>Navigate to Eat &gt; Eat Out → tap the + button on any meal → observe: nothing visible happens</t>
        </is>
      </c>
      <c r="G7" s="8" t="inlineStr">
        <is>
          <t>Show a brief toast ("Vanilla Soft Serve Cone logged — 150 kcal") or change + to a checkmark</t>
        </is>
      </c>
      <c r="H7" s="21" t="inlineStr">
        <is>
          <t>✅ Fixed</t>
        </is>
      </c>
      <c r="I7" s="22" t="inlineStr">
        <is>
          <t>LogToast slides up from above nav bar, auto-dismisses at 2.2s. Button → solid green ✓ + scale(0.92). Wired to logMenuItem + logRecipe. Commit b8426a4 (2026-05-13)</t>
        </is>
      </c>
    </row>
    <row r="8" ht="52" customHeight="1">
      <c r="A8" s="8" t="n">
        <v>7</v>
      </c>
      <c r="B8" s="8" t="inlineStr">
        <is>
          <t>Eat &gt; Eat Out</t>
        </is>
      </c>
      <c r="C8" s="8" t="inlineStr">
        <is>
          <t>Meal card tap</t>
        </is>
      </c>
      <c r="D8" s="8" t="inlineStr">
        <is>
          <t>Tapping on a meal card body (not the + button) does nothing — no detail view, no expansion, no navigation</t>
        </is>
      </c>
      <c r="E8" s="8" t="inlineStr">
        <is>
          <t>Medium</t>
        </is>
      </c>
      <c r="F8" s="8" t="inlineStr">
        <is>
          <t>Navigate to Eat &gt; Eat Out → tap on the meal name or card area → nothing happens</t>
        </is>
      </c>
      <c r="G8" s="8" t="inlineStr">
        <is>
          <t>Open a meal detail view with full macro breakdown, portion info, restaurant details, and optionally a deep link to order</t>
        </is>
      </c>
      <c r="H8" s="23" t="inlineStr">
        <is>
          <t>🔲 Backlog</t>
        </is>
      </c>
      <c r="I8" s="22" t="inlineStr">
        <is>
          <t>Detail view / expansion is a medium-priority feature. Requires new detail modal. Scoped to Phase 1.5.</t>
        </is>
      </c>
    </row>
    <row r="9" ht="52" customHeight="1">
      <c r="A9" s="8" t="n">
        <v>8</v>
      </c>
      <c r="B9" s="8" t="inlineStr">
        <is>
          <t>Eat &gt; Eat Out</t>
        </is>
      </c>
      <c r="C9" s="8" t="inlineStr">
        <is>
          <t>Location error</t>
        </is>
      </c>
      <c r="D9" s="8" t="inlineStr">
        <is>
          <t>"Location denied: Timeout expired" warning banner persists — no retry button, no fallback to manual location entry, no way to dismiss</t>
        </is>
      </c>
      <c r="E9" s="8" t="inlineStr">
        <is>
          <t>High</t>
        </is>
      </c>
      <c r="F9" s="8" t="inlineStr">
        <is>
          <t>Load Eat page without granting location permission or with slow GPS → orange banner appears and stays</t>
        </is>
      </c>
      <c r="G9" s="8" t="inlineStr">
        <is>
          <t>Provide a "Set location manually" fallback or a retry button. Banner should be dismissible.</t>
        </is>
      </c>
      <c r="H9" s="21" t="inlineStr">
        <is>
          <t>✅ Fixed</t>
        </is>
      </c>
      <c r="I9" s="22" t="inlineStr">
        <is>
          <t>requestLocation() extracted as reusable callback. Error banner: Retry button (re-triggers GPS) + × dismiss. Commit b8426a4 (2026-05-13)</t>
        </is>
      </c>
    </row>
    <row r="10" ht="52" customHeight="1">
      <c r="A10" s="8" t="n">
        <v>9</v>
      </c>
      <c r="B10" s="8" t="inlineStr">
        <is>
          <t>Eat &gt; Eat Out</t>
        </is>
      </c>
      <c r="C10" s="8" t="inlineStr">
        <is>
          <t>Open Now filter</t>
        </is>
      </c>
      <c r="D10" s="8" t="inlineStr">
        <is>
          <t>"Open Now" filter chip — unclear if it works since location timed out; needs testing with valid location. Currently shows same results regardless.</t>
        </is>
      </c>
      <c r="E10" s="8" t="inlineStr">
        <is>
          <t>Medium</t>
        </is>
      </c>
      <c r="F10" s="8" t="inlineStr">
        <is>
          <t>Click "Open Now" chip when location is unavailable</t>
        </is>
      </c>
      <c r="G10" s="8" t="inlineStr">
        <is>
          <t>Should either filter to open restaurants or show a message explaining location is needed for this filter</t>
        </is>
      </c>
      <c r="H10" s="21" t="inlineStr">
        <is>
          <t>✅ Fixed</t>
        </is>
      </c>
      <c r="I10" s="22" t="inlineStr">
        <is>
          <t>Root cause fixed (location retry/dismiss). Open Now chip filters client-side on hours field. When GPS unavailable, results empty — acceptable v1 behaviour. Commit b8426a4 (2026-05-13)</t>
        </is>
      </c>
    </row>
  </sheetData>
  <autoFilter ref="A1:H10"/>
  <dataValidations count="1">
    <dataValidation sqref="H2:H10" showDropDown="0" showInputMessage="0" showErrorMessage="0" allowBlank="1" type="list">
      <formula1>"Not Started,In Progress,Fixed,Won't Fix"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tabSelected="1" zoomScaleNormal="100" workbookViewId="0">
      <pane ySplit="1" topLeftCell="A13" activePane="bottomLeft" state="frozen"/>
      <selection pane="bottomLeft" activeCell="D24" sqref="D24"/>
    </sheetView>
  </sheetViews>
  <sheetFormatPr baseColWidth="8" defaultColWidth="8.7109375" defaultRowHeight="15"/>
  <cols>
    <col width="5" customWidth="1" min="1" max="1"/>
    <col width="22" customWidth="1" min="2" max="2"/>
    <col width="16" customWidth="1" min="3" max="3"/>
    <col width="50" customWidth="1" min="4" max="4"/>
    <col width="12" customWidth="1" min="5" max="5"/>
    <col width="50" customWidth="1" min="6" max="6"/>
    <col width="38" customWidth="1" min="7" max="7"/>
    <col width="10" customWidth="1" min="8" max="8"/>
    <col width="12" customWidth="1" min="9" max="9"/>
    <col width="15" customWidth="1" min="10" max="10"/>
  </cols>
  <sheetData>
    <row r="1">
      <c r="A1" s="4" t="inlineStr">
        <is>
          <t>#</t>
        </is>
      </c>
      <c r="B1" s="4" t="inlineStr">
        <is>
          <t>Persona</t>
        </is>
      </c>
      <c r="C1" s="4" t="inlineStr">
        <is>
          <t>Journey Stage</t>
        </is>
      </c>
      <c r="D1" s="4" t="inlineStr">
        <is>
          <t>Pain Point / Gap Identified</t>
        </is>
      </c>
      <c r="E1" s="4" t="inlineStr">
        <is>
          <t>Severity</t>
        </is>
      </c>
      <c r="F1" s="4" t="inlineStr">
        <is>
          <t>Suggestion / Recommendation</t>
        </is>
      </c>
      <c r="G1" s="4" t="inlineStr">
        <is>
          <t>Expected Impact</t>
        </is>
      </c>
      <c r="H1" s="4" t="inlineStr">
        <is>
          <t>Effort</t>
        </is>
      </c>
      <c r="I1" s="4" t="inlineStr">
        <is>
          <t>Priority</t>
        </is>
      </c>
      <c r="J1" s="4" t="inlineStr">
        <is>
          <t>Status</t>
        </is>
      </c>
    </row>
    <row r="2" ht="38.25" customHeight="1">
      <c r="A2" s="8" t="n">
        <v>1</v>
      </c>
      <c r="B2" s="8" t="inlineStr">
        <is>
          <t>First-Time User</t>
        </is>
      </c>
      <c r="C2" s="8" t="inlineStr">
        <is>
          <t>Onboarding</t>
        </is>
      </c>
      <c r="D2" s="8" t="inlineStr">
        <is>
          <t>No guided onboarding — user lands directly on dashboard with no context on what the app does</t>
        </is>
      </c>
      <c r="E2" s="8" t="inlineStr">
        <is>
          <t>High</t>
        </is>
      </c>
      <c r="F2" s="8" t="inlineStr">
        <is>
          <t>Add a 3-step onboarding: (1) Set goal (lose/build/maintain), (2) Enter body stats, (3) See first meal suggestions. Include skip option.</t>
        </is>
      </c>
      <c r="G2" s="8" t="inlineStr">
        <is>
          <t>Reduces Day-1 drop-off by 30-50%</t>
        </is>
      </c>
      <c r="H2" s="8" t="inlineStr">
        <is>
          <t>Medium</t>
        </is>
      </c>
      <c r="I2" s="9" t="inlineStr">
        <is>
          <t>High</t>
        </is>
      </c>
      <c r="J2" s="8" t="inlineStr">
        <is>
          <t>Gap</t>
        </is>
      </c>
    </row>
    <row r="3" ht="38.25" customHeight="1">
      <c r="A3" s="8" t="n">
        <v>4</v>
      </c>
      <c r="B3" s="8" t="inlineStr">
        <is>
          <t>First-Time User</t>
        </is>
      </c>
      <c r="C3" s="8" t="inlineStr">
        <is>
          <t>Trust</t>
        </is>
      </c>
      <c r="D3" s="8" t="inlineStr">
        <is>
          <t>No indication of how macro data is sourced — users question whether calorie estimates are accurate</t>
        </is>
      </c>
      <c r="E3" s="8" t="inlineStr">
        <is>
          <t>Medium</t>
        </is>
      </c>
      <c r="F3" s="8" t="inlineStr">
        <is>
          <t>Show a small badge per meal: "Verified", "Estimated via AI", or "Restaurant-provided". Add a data sources page in Settings.</t>
        </is>
      </c>
      <c r="G3" s="8" t="inlineStr">
        <is>
          <t>Increases user confidence and retention</t>
        </is>
      </c>
      <c r="H3" s="8" t="inlineStr">
        <is>
          <t>Low</t>
        </is>
      </c>
      <c r="I3" s="10" t="inlineStr">
        <is>
          <t>High</t>
        </is>
      </c>
      <c r="J3" s="8" t="inlineStr">
        <is>
          <t>Gap</t>
        </is>
      </c>
    </row>
    <row r="4" ht="38.25" customHeight="1">
      <c r="A4" s="8" t="n">
        <v>6</v>
      </c>
      <c r="B4" s="8" t="inlineStr">
        <is>
          <t>Fitness Enthusiast</t>
        </is>
      </c>
      <c r="C4" s="8" t="inlineStr">
        <is>
          <t>Filtering</t>
        </is>
      </c>
      <c r="D4" s="8" t="inlineStr">
        <is>
          <t>Sort by Protein/$ exists but no macro threshold sliders (e.g., "&gt;30g protein, &lt;500 kcal"). Filter chips appear non-functional (see Bugs sheet).</t>
        </is>
      </c>
      <c r="E4" s="8" t="inlineStr">
        <is>
          <t>High</t>
        </is>
      </c>
      <c r="F4" s="8" t="inlineStr">
        <is>
          <t>Fix existing filters first. Then add slider-based filters for protein, calories, and price ranges.</t>
        </is>
      </c>
      <c r="G4" s="8" t="inlineStr">
        <is>
          <t>Serves power users who drive word-of-mouth</t>
        </is>
      </c>
      <c r="H4" s="8" t="inlineStr">
        <is>
          <t>Medium</t>
        </is>
      </c>
      <c r="I4" s="9" t="inlineStr">
        <is>
          <t>High</t>
        </is>
      </c>
      <c r="J4" s="8" t="inlineStr">
        <is>
          <t>Gap</t>
        </is>
      </c>
    </row>
    <row r="5" ht="25.5" customHeight="1">
      <c r="A5" s="8" t="n">
        <v>7</v>
      </c>
      <c r="B5" s="8" t="inlineStr">
        <is>
          <t>Fitness Enthusiast</t>
        </is>
      </c>
      <c r="C5" s="8" t="inlineStr">
        <is>
          <t>Meal Prep</t>
        </is>
      </c>
      <c r="D5" s="8" t="inlineStr">
        <is>
          <t>Cook/Prep tab exists with recipes, tags, and step-by-step instructions — but has critical $NaN bugs</t>
        </is>
      </c>
      <c r="E5" s="8" t="inlineStr">
        <is>
          <t>High</t>
        </is>
      </c>
      <c r="F5" s="8" t="inlineStr">
        <is>
          <t>Fix NaN pricing, fix ingredient name resolution, then add weekly meal planner with auto-calculated macro totals.</t>
        </is>
      </c>
      <c r="G5" s="8" t="inlineStr">
        <is>
          <t>Increases stickiness for meal-prep-oriented users</t>
        </is>
      </c>
      <c r="H5" s="8" t="inlineStr">
        <is>
          <t>High</t>
        </is>
      </c>
      <c r="I5" s="9" t="inlineStr">
        <is>
          <t>High</t>
        </is>
      </c>
      <c r="J5" s="8" t="inlineStr">
        <is>
          <t>Partial</t>
        </is>
      </c>
    </row>
    <row r="6" ht="25.5" customHeight="1">
      <c r="A6" s="8" t="n">
        <v>8</v>
      </c>
      <c r="B6" s="8" t="inlineStr">
        <is>
          <t>Fitness Enthusiast</t>
        </is>
      </c>
      <c r="C6" s="8" t="inlineStr">
        <is>
          <t>Health App Sync</t>
        </is>
      </c>
      <c r="D6" s="8" t="inlineStr">
        <is>
          <t>No integration with Apple Health, Google Fit, or Samsung Health</t>
        </is>
      </c>
      <c r="E6" s="8" t="inlineStr">
        <is>
          <t>Medium</t>
        </is>
      </c>
      <c r="F6" s="8" t="inlineStr">
        <is>
          <t>Provide data sync to major health platforms. Start with Apple Health (SG is heavily iOS).</t>
        </is>
      </c>
      <c r="G6" s="8" t="inlineStr">
        <is>
          <t>Reduces friction for users in a tracking ecosystem</t>
        </is>
      </c>
      <c r="H6" s="8" t="inlineStr">
        <is>
          <t>Medium</t>
        </is>
      </c>
      <c r="I6" s="10" t="inlineStr">
        <is>
          <t>Low</t>
        </is>
      </c>
      <c r="J6" s="8" t="inlineStr">
        <is>
          <t>Gap</t>
        </is>
      </c>
    </row>
    <row r="7" ht="38.25" customHeight="1">
      <c r="A7" s="8" t="n">
        <v>9</v>
      </c>
      <c r="B7" s="8" t="inlineStr">
        <is>
          <t>Busy Working Adult</t>
        </is>
      </c>
      <c r="C7" s="8" t="inlineStr">
        <is>
          <t>Speed</t>
        </is>
      </c>
      <c r="D7" s="8" t="inlineStr">
        <is>
          <t>No "Quick Pick" — user must browse the full list to find a meal that fits remaining macros and budget</t>
        </is>
      </c>
      <c r="E7" s="8" t="inlineStr">
        <is>
          <t>Medium</t>
        </is>
      </c>
      <c r="F7" s="8" t="inlineStr">
        <is>
          <t>Add a "Quick Pick" button: one tap shows the best-fit meal based on remaining kcal, protein target, and location.</t>
        </is>
      </c>
      <c r="G7" s="8" t="inlineStr">
        <is>
          <t>Reduces decision fatigue at lunchtime</t>
        </is>
      </c>
      <c r="H7" s="8" t="inlineStr">
        <is>
          <t>Medium</t>
        </is>
      </c>
      <c r="I7" s="10" t="inlineStr">
        <is>
          <t>High</t>
        </is>
      </c>
      <c r="J7" s="8" t="inlineStr">
        <is>
          <t>Gap</t>
        </is>
      </c>
    </row>
    <row r="8" ht="25.5" customHeight="1">
      <c r="A8" s="8" t="n">
        <v>10</v>
      </c>
      <c r="B8" s="8" t="inlineStr">
        <is>
          <t>Busy Working Adult</t>
        </is>
      </c>
      <c r="C8" s="8" t="inlineStr">
        <is>
          <t>Location</t>
        </is>
      </c>
      <c r="D8" s="8" t="inlineStr">
        <is>
          <t>Location detection exists but fails gracefully poorly — "Location denied: Timeout expired" with no recovery path</t>
        </is>
      </c>
      <c r="E8" s="8" t="inlineStr">
        <is>
          <t>High</t>
        </is>
      </c>
      <c r="F8" s="8" t="inlineStr">
        <is>
          <t>Add "Set location manually" search/favourite locations (Home, Office, Gym) as fallback when GPS fails.</t>
        </is>
      </c>
      <c r="G8" s="8" t="inlineStr">
        <is>
          <t>Critical for office workers who may deny GPS permission</t>
        </is>
      </c>
      <c r="H8" s="8" t="inlineStr">
        <is>
          <t>Low</t>
        </is>
      </c>
      <c r="I8" s="9" t="inlineStr">
        <is>
          <t>High</t>
        </is>
      </c>
      <c r="J8" s="8" t="inlineStr">
        <is>
          <t>Gap</t>
        </is>
      </c>
    </row>
    <row r="9" ht="38.25" customHeight="1">
      <c r="A9" s="8" t="n">
        <v>11</v>
      </c>
      <c r="B9" s="8" t="inlineStr">
        <is>
          <t>Busy Working Adult</t>
        </is>
      </c>
      <c r="C9" s="8" t="inlineStr">
        <is>
          <t>Ordering</t>
        </is>
      </c>
      <c r="D9" s="8" t="inlineStr">
        <is>
          <t>App shows food options but the + button logs the meal — no deep-link to delivery/ordering platforms (GrabFood, foodpanda, Deliveroo)</t>
        </is>
      </c>
      <c r="E9" s="8" t="inlineStr">
        <is>
          <t>High</t>
        </is>
      </c>
      <c r="F9" s="8" t="inlineStr">
        <is>
          <t>Add "Order on GrabFood" / "Order on foodpanda" deep links on meal detail view. This closes the discovery-to-action loop.</t>
        </is>
      </c>
      <c r="G9" s="8" t="inlineStr">
        <is>
          <t>Highest-impact conversion feature — connects discovery to purchase</t>
        </is>
      </c>
      <c r="H9" s="8" t="inlineStr">
        <is>
          <t>Medium</t>
        </is>
      </c>
      <c r="I9" s="9" t="inlineStr">
        <is>
          <t>Low</t>
        </is>
      </c>
      <c r="J9" s="8" t="inlineStr">
        <is>
          <t>Gap</t>
        </is>
      </c>
    </row>
    <row r="10" ht="38.25" customHeight="1">
      <c r="A10" s="8" t="n">
        <v>12</v>
      </c>
      <c r="B10" s="8" t="inlineStr">
        <is>
          <t>Busy Working Adult</t>
        </is>
      </c>
      <c r="C10" s="8" t="inlineStr">
        <is>
          <t>Time Awareness</t>
        </is>
      </c>
      <c r="D10" s="8" t="inlineStr">
        <is>
          <t>"Late night craving" context label and "Open Now" filter chip exist — meal-time awareness is partially built</t>
        </is>
      </c>
      <c r="E10" s="8" t="inlineStr">
        <is>
          <t>N/A</t>
        </is>
      </c>
      <c r="F10" s="8" t="inlineStr">
        <is>
          <t>Partially built. Verify "Open Now" filter works with valid location. Add meal-window auto-detection (breakfast/lunch/dinner).</t>
        </is>
      </c>
      <c r="G10" s="8" t="inlineStr">
        <is>
          <t>Prevents frustration from unusable results</t>
        </is>
      </c>
      <c r="H10" s="8" t="inlineStr">
        <is>
          <t>Low</t>
        </is>
      </c>
      <c r="I10" s="10" t="inlineStr">
        <is>
          <t>High</t>
        </is>
      </c>
      <c r="J10" s="8" t="inlineStr">
        <is>
          <t>Partial</t>
        </is>
      </c>
    </row>
    <row r="11" ht="38.25" customHeight="1">
      <c r="A11" s="8" t="n">
        <v>14</v>
      </c>
      <c r="B11" s="8" t="inlineStr">
        <is>
          <t>Fat-Loss User</t>
        </is>
      </c>
      <c r="C11" s="8" t="inlineStr">
        <is>
          <t>Temptation</t>
        </is>
      </c>
      <c r="D11" s="8" t="inlineStr">
        <is>
          <t>All meals shown regardless of whether they fit remaining calorie budget</t>
        </is>
      </c>
      <c r="E11" s="8" t="inlineStr">
        <is>
          <t>Low</t>
        </is>
      </c>
      <c r="F11" s="8" t="inlineStr">
        <is>
          <t>Add a "Fits my budget" toggle that hides meals exceeding remaining kcal. Or sort meals that fit to the top with a "Fits" badge.</t>
        </is>
      </c>
      <c r="G11" s="8" t="inlineStr">
        <is>
          <t>Supports behaviour change without being preachy</t>
        </is>
      </c>
      <c r="H11" s="8" t="inlineStr">
        <is>
          <t>Low</t>
        </is>
      </c>
      <c r="I11" s="11" t="inlineStr">
        <is>
          <t>Low</t>
        </is>
      </c>
      <c r="J11" s="8" t="inlineStr">
        <is>
          <t>Gap</t>
        </is>
      </c>
    </row>
    <row r="12" ht="25.5" customHeight="1">
      <c r="A12" s="8" t="n">
        <v>16</v>
      </c>
      <c r="B12" s="8" t="inlineStr">
        <is>
          <t>Fat-Loss User</t>
        </is>
      </c>
      <c r="C12" s="8" t="inlineStr">
        <is>
          <t>Education</t>
        </is>
      </c>
      <c r="D12" s="8" t="inlineStr">
        <is>
          <t>No contextual tips on meal cards — users don't know why a meal is "good" or "bad" for their goal</t>
        </is>
      </c>
      <c r="E12" s="8" t="inlineStr">
        <is>
          <t>Low</t>
        </is>
      </c>
      <c r="F12" s="8" t="inlineStr">
        <is>
          <t>Add micro-tips: "High protein keeps you full longer", "This meal uses 60% of your remaining calories".</t>
        </is>
      </c>
      <c r="G12" s="8" t="inlineStr">
        <is>
          <t>Builds nutrition literacy</t>
        </is>
      </c>
      <c r="H12" s="8" t="inlineStr">
        <is>
          <t>Low</t>
        </is>
      </c>
      <c r="I12" s="11" t="inlineStr">
        <is>
          <t>Low</t>
        </is>
      </c>
      <c r="J12" s="8" t="inlineStr">
        <is>
          <t>Gap</t>
        </is>
      </c>
    </row>
    <row r="13" ht="38.25" customHeight="1">
      <c r="A13" s="8" t="n">
        <v>17</v>
      </c>
      <c r="B13" s="8" t="inlineStr">
        <is>
          <t>Budget-Conscious User</t>
        </is>
      </c>
      <c r="C13" s="8" t="inlineStr">
        <is>
          <t>Price Display</t>
        </is>
      </c>
      <c r="D13" s="8" t="inlineStr">
        <is>
          <t>Prices shown on Eat Out cards but no indication if these include platform fees, delivery charges, or are base prices only</t>
        </is>
      </c>
      <c r="E13" s="8" t="inlineStr">
        <is>
          <t>Medium</t>
        </is>
      </c>
      <c r="F13" s="8" t="inlineStr">
        <is>
          <t>Label prices as "Base price" or "Est. total". Add disclaimer if estimated. Critical for trust.</t>
        </is>
      </c>
      <c r="G13" s="8" t="inlineStr">
        <is>
          <t>Prevents trust erosion from price surprises</t>
        </is>
      </c>
      <c r="H13" s="8" t="inlineStr">
        <is>
          <t>Low</t>
        </is>
      </c>
      <c r="I13" s="10" t="inlineStr">
        <is>
          <t>Low</t>
        </is>
      </c>
      <c r="J13" s="8" t="inlineStr">
        <is>
          <t>Gap</t>
        </is>
      </c>
    </row>
    <row r="14" ht="25.5" customHeight="1">
      <c r="A14" s="8" t="n">
        <v>18</v>
      </c>
      <c r="B14" s="8" t="inlineStr">
        <is>
          <t>Budget-Conscious User</t>
        </is>
      </c>
      <c r="C14" s="8" t="inlineStr">
        <is>
          <t>Budget Setting</t>
        </is>
      </c>
      <c r="D14" s="8" t="inlineStr">
        <is>
          <t>No daily or per-meal food budget cap — user sees prices but can't set a spending limit</t>
        </is>
      </c>
      <c r="E14" s="8" t="inlineStr">
        <is>
          <t>Medium</t>
        </is>
      </c>
      <c r="F14" s="8" t="inlineStr">
        <is>
          <t>Add a daily food budget in Me &gt; Goals alongside calorie target. Show "within budget" labels on Eat cards.</t>
        </is>
      </c>
      <c r="G14" s="8" t="inlineStr">
        <is>
          <t>Differentiator for budget-conscious users</t>
        </is>
      </c>
      <c r="H14" s="8" t="inlineStr">
        <is>
          <t>Medium</t>
        </is>
      </c>
      <c r="I14" s="10" t="inlineStr">
        <is>
          <t>High</t>
        </is>
      </c>
      <c r="J14" s="8" t="inlineStr">
        <is>
          <t>Gap</t>
        </is>
      </c>
    </row>
    <row r="15" ht="38.25" customHeight="1">
      <c r="A15" s="8" t="n">
        <v>20</v>
      </c>
      <c r="B15" s="8" t="inlineStr">
        <is>
          <t>Food Delivery User</t>
        </is>
      </c>
      <c r="C15" s="8" t="inlineStr">
        <is>
          <t>Platform Integration</t>
        </is>
      </c>
      <c r="D15" s="8" t="inlineStr">
        <is>
          <t>No delivery platform integration — app currently shows physical nearby locations (KFC, McDonald's, FairPrice) rather than delivery options</t>
        </is>
      </c>
      <c r="E15" s="8" t="inlineStr">
        <is>
          <t>High</t>
        </is>
      </c>
      <c r="F15" s="8" t="inlineStr">
        <is>
          <t>Integrate GrabFood, foodpanda, Deliveroo APIs. Show which platform has the meal and enable price comparison.</t>
        </is>
      </c>
      <c r="G15" s="8" t="inlineStr">
        <is>
          <t>Table-stakes for delivery users — without this the app is discovery-only</t>
        </is>
      </c>
      <c r="H15" s="8" t="inlineStr">
        <is>
          <t>High</t>
        </is>
      </c>
      <c r="I15" s="9" t="inlineStr">
        <is>
          <t>Low</t>
        </is>
      </c>
      <c r="J15" s="8" t="inlineStr">
        <is>
          <t>Gap</t>
        </is>
      </c>
    </row>
    <row r="16" ht="25.5" customHeight="1">
      <c r="A16" s="8" t="n">
        <v>21</v>
      </c>
      <c r="B16" s="8" t="inlineStr">
        <is>
          <t>Food Delivery User</t>
        </is>
      </c>
      <c r="C16" s="8" t="inlineStr">
        <is>
          <t>Meal Detail</t>
        </is>
      </c>
      <c r="D16" s="8" t="inlineStr">
        <is>
          <t>No meal detail page on Eat Out — tapping a meal card does nothing (unlike Cook/Prep which expands)</t>
        </is>
      </c>
      <c r="E16" s="8" t="inlineStr">
        <is>
          <t>High</t>
        </is>
      </c>
      <c r="F16" s="8" t="inlineStr">
        <is>
          <t>Add a meal detail view: full macro breakdown, portion info, restaurant details, photo, and order/deep-link CTAs.</t>
        </is>
      </c>
      <c r="G16" s="8" t="inlineStr">
        <is>
          <t>Critical missing screen — users need more info before deciding</t>
        </is>
      </c>
      <c r="H16" s="8" t="inlineStr">
        <is>
          <t>Medium</t>
        </is>
      </c>
      <c r="I16" s="9" t="inlineStr">
        <is>
          <t>Low</t>
        </is>
      </c>
      <c r="J16" s="8" t="inlineStr">
        <is>
          <t>Gap</t>
        </is>
      </c>
    </row>
    <row r="17" ht="25.5" customHeight="1">
      <c r="A17" s="8" t="n">
        <v>22</v>
      </c>
      <c r="B17" s="8" t="inlineStr">
        <is>
          <t>Food Delivery User</t>
        </is>
      </c>
      <c r="C17" s="8" t="inlineStr">
        <is>
          <t>Order History</t>
        </is>
      </c>
      <c r="D17" s="8" t="inlineStr">
        <is>
          <t>No memory of past orders or favourites — user can't quickly reorder a meal they liked</t>
        </is>
      </c>
      <c r="E17" s="8" t="inlineStr">
        <is>
          <t>Medium</t>
        </is>
      </c>
      <c r="F17" s="8" t="inlineStr">
        <is>
          <t>Add "Favourites" and "Recently Logged" sections with quick-add functionality.</t>
        </is>
      </c>
      <c r="G17" s="8" t="inlineStr">
        <is>
          <t>Increases repeat usage and speeds up daily decisions</t>
        </is>
      </c>
      <c r="H17" s="8" t="inlineStr">
        <is>
          <t>Medium</t>
        </is>
      </c>
      <c r="I17" s="10" t="inlineStr">
        <is>
          <t>High</t>
        </is>
      </c>
      <c r="J17" s="8" t="inlineStr">
        <is>
          <t>Gap</t>
        </is>
      </c>
    </row>
    <row r="18" ht="38.25" customHeight="1">
      <c r="A18" s="8" t="n">
        <v>24</v>
      </c>
      <c r="B18" s="8" t="inlineStr">
        <is>
          <t>Habit-Building User</t>
        </is>
      </c>
      <c r="C18" s="8" t="inlineStr">
        <is>
          <t>Reminders</t>
        </is>
      </c>
      <c r="D18" s="8" t="inlineStr">
        <is>
          <t>No push notifications or meal-time reminders</t>
        </is>
      </c>
      <c r="E18" s="8" t="inlineStr">
        <is>
          <t>Medium</t>
        </is>
      </c>
      <c r="F18" s="8" t="inlineStr">
        <is>
          <t>Send smart notifications at meal times: "Lunchtime! You have 800 kcal and $8 left. Here are 3 options near your office."</t>
        </is>
      </c>
      <c r="G18" s="8" t="inlineStr">
        <is>
          <t>Drives daily active usage</t>
        </is>
      </c>
      <c r="H18" s="8" t="inlineStr">
        <is>
          <t>Medium</t>
        </is>
      </c>
      <c r="I18" s="10" t="inlineStr">
        <is>
          <t>Low</t>
        </is>
      </c>
      <c r="J18" s="8" t="inlineStr">
        <is>
          <t>Gap</t>
        </is>
      </c>
    </row>
    <row r="19" ht="38.25" customHeight="1">
      <c r="A19" s="8" t="n">
        <v>25</v>
      </c>
      <c r="B19" s="8" t="inlineStr">
        <is>
          <t>Habit-Building User</t>
        </is>
      </c>
      <c r="C19" s="8" t="inlineStr">
        <is>
          <t>Weekly Report</t>
        </is>
      </c>
      <c r="D19" s="8" t="inlineStr">
        <is>
          <t>Log screen has 7-day history with avg calories, total burned, active days — but no shareable weekly report</t>
        </is>
      </c>
      <c r="E19" s="8" t="inlineStr">
        <is>
          <t>Low</t>
        </is>
      </c>
      <c r="F19" s="8" t="inlineStr">
        <is>
          <t>Generate a visual weekly recap card shareable via WhatsApp/Telegram with macro adherence and spend summary.</t>
        </is>
      </c>
      <c r="G19" s="8" t="inlineStr">
        <is>
          <t>Creates a reflection loop that reinforces habits</t>
        </is>
      </c>
      <c r="H19" s="8" t="inlineStr">
        <is>
          <t>Medium</t>
        </is>
      </c>
      <c r="I19" s="11" t="inlineStr">
        <is>
          <t>Low</t>
        </is>
      </c>
      <c r="J19" s="8" t="inlineStr">
        <is>
          <t>Gap</t>
        </is>
      </c>
    </row>
    <row r="20" ht="38.25" customHeight="1">
      <c r="A20" s="8" t="n">
        <v>26</v>
      </c>
      <c r="B20" s="8" t="inlineStr">
        <is>
          <t>Investor (PMF)</t>
        </is>
      </c>
      <c r="C20" s="8" t="inlineStr">
        <is>
          <t>Monetisation</t>
        </is>
      </c>
      <c r="D20" s="8" t="inlineStr">
        <is>
          <t>No visible revenue model — unclear how the app makes money</t>
        </is>
      </c>
      <c r="E20" s="8" t="inlineStr">
        <is>
          <t>Critical</t>
        </is>
      </c>
      <c r="F20" s="8" t="inlineStr">
        <is>
          <t>Define monetisation: (1) Affiliate commissions from delivery deep links, (2) Premium tier for advanced features, (3) Sponsored placements (labelled).</t>
        </is>
      </c>
      <c r="G20" s="8" t="inlineStr">
        <is>
          <t>Investors need a path to revenue before funding</t>
        </is>
      </c>
      <c r="H20" s="8" t="inlineStr">
        <is>
          <t>Medium</t>
        </is>
      </c>
      <c r="I20" s="12" t="inlineStr">
        <is>
          <t>Low</t>
        </is>
      </c>
      <c r="J20" s="8" t="inlineStr">
        <is>
          <t>Gap</t>
        </is>
      </c>
    </row>
    <row r="21" ht="38.25" customHeight="1">
      <c r="A21" s="8" t="n">
        <v>27</v>
      </c>
      <c r="B21" s="8" t="inlineStr">
        <is>
          <t>Investor (PMF)</t>
        </is>
      </c>
      <c r="C21" s="8" t="inlineStr">
        <is>
          <t>Data Moat</t>
        </is>
      </c>
      <c r="D21" s="8" t="inlineStr">
        <is>
          <t>SG food database exists (KFC, McDonald's, Old Chang Kee, FairPrice Xpress, Texas Chicken visible) — good start but coverage depth unclear</t>
        </is>
      </c>
      <c r="E21" s="8" t="inlineStr">
        <is>
          <t>High</t>
        </is>
      </c>
      <c r="F21" s="8" t="inlineStr">
        <is>
          <t>Expand database to cover top 20 hawker centres + all major chains. Partner with HPB. Crowdsource corrections. This IS your moat.</t>
        </is>
      </c>
      <c r="G21" s="8" t="inlineStr">
        <is>
          <t>Database accuracy and coverage is the entire defensibility story</t>
        </is>
      </c>
      <c r="H21" s="8" t="inlineStr">
        <is>
          <t>High</t>
        </is>
      </c>
      <c r="I21" s="12" t="inlineStr">
        <is>
          <t>Low</t>
        </is>
      </c>
      <c r="J21" s="8" t="inlineStr">
        <is>
          <t>Partial</t>
        </is>
      </c>
    </row>
    <row r="22" ht="38.25" customHeight="1">
      <c r="A22" s="8" t="n">
        <v>28</v>
      </c>
      <c r="B22" s="8" t="inlineStr">
        <is>
          <t>Investor (PMF)</t>
        </is>
      </c>
      <c r="C22" s="8" t="inlineStr">
        <is>
          <t>Analytics</t>
        </is>
      </c>
      <c r="D22" s="8" t="inlineStr">
        <is>
          <t>No visible analytics or event tracking to measure retention, activation, or engagement</t>
        </is>
      </c>
      <c r="E22" s="8" t="inlineStr">
        <is>
          <t>High</t>
        </is>
      </c>
      <c r="F22" s="8" t="inlineStr">
        <is>
          <t>Instrument with Mixpanel/Amplitude from Day 1. Track: onboarding completion, first meal logged, first deep-link click, D1/D7/D30 retention.</t>
        </is>
      </c>
      <c r="G22" s="8" t="inlineStr">
        <is>
          <t>Cannot improve what you cannot measure — investors will ask</t>
        </is>
      </c>
      <c r="H22" s="8" t="inlineStr">
        <is>
          <t>Medium</t>
        </is>
      </c>
      <c r="I22" s="12" t="inlineStr">
        <is>
          <t>Critical</t>
        </is>
      </c>
      <c r="J22" s="8" t="inlineStr">
        <is>
          <t>Gap</t>
        </is>
      </c>
    </row>
    <row r="23" ht="25.5" customHeight="1">
      <c r="A23" s="8" t="n">
        <v>29</v>
      </c>
      <c r="B23" s="8" t="inlineStr">
        <is>
          <t>General</t>
        </is>
      </c>
      <c r="C23" s="8" t="inlineStr">
        <is>
          <t>Search</t>
        </is>
      </c>
      <c r="D23" s="8" t="inlineStr">
        <is>
          <t>Missing link to restaurant actual location</t>
        </is>
      </c>
      <c r="E23" s="8" t="inlineStr">
        <is>
          <t>High</t>
        </is>
      </c>
      <c r="F23" s="8" t="inlineStr">
        <is>
          <t>Each menu in Eat Out cards should have an option to link to google location</t>
        </is>
      </c>
      <c r="G23" s="8" t="inlineStr">
        <is>
          <t>Reduces drop-off by 30-50%</t>
        </is>
      </c>
      <c r="H23" s="8" t="inlineStr">
        <is>
          <t>Medium</t>
        </is>
      </c>
      <c r="I23" s="9" t="inlineStr">
        <is>
          <t>High</t>
        </is>
      </c>
      <c r="J23" s="8" t="inlineStr">
        <is>
          <t>Gap</t>
        </is>
      </c>
    </row>
  </sheetData>
  <autoFilter ref="A1:J22"/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2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5" customWidth="1" min="1" max="1"/>
    <col width="16" customWidth="1" min="2" max="3"/>
    <col width="55" customWidth="1" min="4" max="4"/>
    <col width="14" customWidth="1" min="5" max="5"/>
    <col width="12" customWidth="1" min="6" max="6"/>
    <col width="14" customWidth="1" min="7" max="7"/>
    <col width="45" customWidth="1" min="8" max="8"/>
  </cols>
  <sheetData>
    <row r="1">
      <c r="A1" s="4" t="inlineStr">
        <is>
          <t>#</t>
        </is>
      </c>
      <c r="B1" s="4" t="inlineStr">
        <is>
          <t>Category</t>
        </is>
      </c>
      <c r="C1" s="4" t="inlineStr">
        <is>
          <t>Sub-Category</t>
        </is>
      </c>
      <c r="D1" s="4" t="inlineStr">
        <is>
          <t>Test Case</t>
        </is>
      </c>
      <c r="E1" s="4" t="inlineStr">
        <is>
          <t>Platform</t>
        </is>
      </c>
      <c r="F1" s="4" t="inlineStr">
        <is>
          <t>Priority</t>
        </is>
      </c>
      <c r="G1" s="4" t="inlineStr">
        <is>
          <t>Status</t>
        </is>
      </c>
      <c r="H1" s="4" t="inlineStr">
        <is>
          <t>Notes</t>
        </is>
      </c>
    </row>
    <row r="2" ht="25.5" customHeight="1">
      <c r="A2" s="8" t="n">
        <v>1</v>
      </c>
      <c r="B2" s="8" t="inlineStr">
        <is>
          <t>Functional</t>
        </is>
      </c>
      <c r="C2" s="8" t="inlineStr">
        <is>
          <t>Onboarding</t>
        </is>
      </c>
      <c r="D2" s="8" t="inlineStr">
        <is>
          <t>User can complete onboarding flow (goal → body stats → location) without errors</t>
        </is>
      </c>
      <c r="E2" s="8" t="inlineStr">
        <is>
          <t>All</t>
        </is>
      </c>
      <c r="F2" s="12" t="inlineStr">
        <is>
          <t>Critical</t>
        </is>
      </c>
      <c r="G2" s="8" t="inlineStr">
        <is>
          <t>Not Started</t>
        </is>
      </c>
      <c r="H2" s="8" t="n"/>
    </row>
    <row r="3">
      <c r="A3" s="8" t="n">
        <v>2</v>
      </c>
      <c r="B3" s="8" t="inlineStr">
        <is>
          <t>Functional</t>
        </is>
      </c>
      <c r="C3" s="8" t="inlineStr">
        <is>
          <t>Onboarding</t>
        </is>
      </c>
      <c r="D3" s="8" t="inlineStr">
        <is>
          <t>User can skip onboarding and access app with default settings</t>
        </is>
      </c>
      <c r="E3" s="8" t="inlineStr">
        <is>
          <t>All</t>
        </is>
      </c>
      <c r="F3" s="9" t="inlineStr">
        <is>
          <t>High</t>
        </is>
      </c>
      <c r="G3" s="8" t="inlineStr">
        <is>
          <t>Not Started</t>
        </is>
      </c>
      <c r="H3" s="8" t="n"/>
    </row>
    <row r="4" ht="25.5" customHeight="1">
      <c r="A4" s="8" t="n">
        <v>3</v>
      </c>
      <c r="B4" s="8" t="inlineStr">
        <is>
          <t>Functional</t>
        </is>
      </c>
      <c r="C4" s="8" t="inlineStr">
        <is>
          <t>Search</t>
        </is>
      </c>
      <c r="D4" s="8" t="inlineStr">
        <is>
          <t>Searching by food name returns relevant results within 2 seconds</t>
        </is>
      </c>
      <c r="E4" s="8" t="inlineStr">
        <is>
          <t>All</t>
        </is>
      </c>
      <c r="F4" s="12" t="inlineStr">
        <is>
          <t>Critical</t>
        </is>
      </c>
      <c r="G4" s="8" t="inlineStr">
        <is>
          <t>Not Started</t>
        </is>
      </c>
      <c r="H4" s="8" t="inlineStr">
        <is>
          <t>Tested: "chicken" returns 25 items ✓</t>
        </is>
      </c>
    </row>
    <row r="5" ht="25.5" customHeight="1">
      <c r="A5" s="8" t="n">
        <v>4</v>
      </c>
      <c r="B5" s="8" t="inlineStr">
        <is>
          <t>Functional</t>
        </is>
      </c>
      <c r="C5" s="8" t="inlineStr">
        <is>
          <t>Search</t>
        </is>
      </c>
      <c r="D5" s="8" t="inlineStr">
        <is>
          <t>Search works with Singlish / local food names ("cai png", "mala", "nasi lemak")</t>
        </is>
      </c>
      <c r="E5" s="8" t="inlineStr">
        <is>
          <t>All</t>
        </is>
      </c>
      <c r="F5" s="12" t="inlineStr">
        <is>
          <t>Critical</t>
        </is>
      </c>
      <c r="G5" s="8" t="inlineStr">
        <is>
          <t>Not Started</t>
        </is>
      </c>
      <c r="H5" s="8" t="inlineStr">
        <is>
          <t>SG-specific — critical for local adoption</t>
        </is>
      </c>
    </row>
    <row r="6" ht="25.5" customHeight="1">
      <c r="A6" s="8" t="n">
        <v>5</v>
      </c>
      <c r="B6" s="8" t="inlineStr">
        <is>
          <t>Functional</t>
        </is>
      </c>
      <c r="C6" s="8" t="inlineStr">
        <is>
          <t>Search</t>
        </is>
      </c>
      <c r="D6" s="8" t="inlineStr">
        <is>
          <t>Empty state shown gracefully when no results match search/filters</t>
        </is>
      </c>
      <c r="E6" s="8" t="inlineStr">
        <is>
          <t>All</t>
        </is>
      </c>
      <c r="F6" s="9" t="inlineStr">
        <is>
          <t>High</t>
        </is>
      </c>
      <c r="G6" s="8" t="inlineStr">
        <is>
          <t>Not Started</t>
        </is>
      </c>
      <c r="H6" s="8" t="n"/>
    </row>
    <row r="7">
      <c r="A7" s="8" t="n">
        <v>6</v>
      </c>
      <c r="B7" s="8" t="inlineStr">
        <is>
          <t>Functional</t>
        </is>
      </c>
      <c r="C7" s="8" t="inlineStr">
        <is>
          <t>Filters</t>
        </is>
      </c>
      <c r="D7" s="8" t="inlineStr">
        <is>
          <t>Dine In filter chip highlights and correctly narrows results</t>
        </is>
      </c>
      <c r="E7" s="8" t="inlineStr">
        <is>
          <t>All</t>
        </is>
      </c>
      <c r="F7" s="12" t="inlineStr">
        <is>
          <t>Critical</t>
        </is>
      </c>
      <c r="G7" s="8" t="inlineStr">
        <is>
          <t>Not Started</t>
        </is>
      </c>
      <c r="H7" s="8" t="inlineStr">
        <is>
          <t>BUG: Currently non-functional</t>
        </is>
      </c>
    </row>
    <row r="8">
      <c r="A8" s="8" t="n">
        <v>7</v>
      </c>
      <c r="B8" s="8" t="inlineStr">
        <is>
          <t>Functional</t>
        </is>
      </c>
      <c r="C8" s="8" t="inlineStr">
        <is>
          <t>Filters</t>
        </is>
      </c>
      <c r="D8" s="8" t="inlineStr">
        <is>
          <t>Takeaway filter chip highlights and correctly narrows results</t>
        </is>
      </c>
      <c r="E8" s="8" t="inlineStr">
        <is>
          <t>All</t>
        </is>
      </c>
      <c r="F8" s="12" t="inlineStr">
        <is>
          <t>Critical</t>
        </is>
      </c>
      <c r="G8" s="8" t="inlineStr">
        <is>
          <t>Not Started</t>
        </is>
      </c>
      <c r="H8" s="8" t="inlineStr">
        <is>
          <t>BUG: Currently non-functional</t>
        </is>
      </c>
    </row>
    <row r="9">
      <c r="A9" s="8" t="n">
        <v>8</v>
      </c>
      <c r="B9" s="8" t="inlineStr">
        <is>
          <t>Functional</t>
        </is>
      </c>
      <c r="C9" s="8" t="inlineStr">
        <is>
          <t>Filters</t>
        </is>
      </c>
      <c r="D9" s="8" t="inlineStr">
        <is>
          <t>Ready-to-Eat filter chip highlights and correctly narrows results</t>
        </is>
      </c>
      <c r="E9" s="8" t="inlineStr">
        <is>
          <t>All</t>
        </is>
      </c>
      <c r="F9" s="12" t="inlineStr">
        <is>
          <t>Critical</t>
        </is>
      </c>
      <c r="G9" s="8" t="inlineStr">
        <is>
          <t>Not Started</t>
        </is>
      </c>
      <c r="H9" s="8" t="inlineStr">
        <is>
          <t>BUG: Currently non-functional</t>
        </is>
      </c>
    </row>
    <row r="10">
      <c r="A10" s="8" t="n">
        <v>9</v>
      </c>
      <c r="B10" s="8" t="inlineStr">
        <is>
          <t>Functional</t>
        </is>
      </c>
      <c r="C10" s="8" t="inlineStr">
        <is>
          <t>Filters</t>
        </is>
      </c>
      <c r="D10" s="8" t="inlineStr">
        <is>
          <t>Open Now filter works when location is available</t>
        </is>
      </c>
      <c r="E10" s="8" t="inlineStr">
        <is>
          <t>All</t>
        </is>
      </c>
      <c r="F10" s="9" t="inlineStr">
        <is>
          <t>High</t>
        </is>
      </c>
      <c r="G10" s="8" t="inlineStr">
        <is>
          <t>Not Started</t>
        </is>
      </c>
      <c r="H10" s="8" t="inlineStr">
        <is>
          <t>Needs valid location to test</t>
        </is>
      </c>
    </row>
    <row r="11">
      <c r="A11" s="8" t="n">
        <v>10</v>
      </c>
      <c r="B11" s="8" t="inlineStr">
        <is>
          <t>Functional</t>
        </is>
      </c>
      <c r="C11" s="8" t="inlineStr">
        <is>
          <t>Filters</t>
        </is>
      </c>
      <c r="D11" s="8" t="inlineStr">
        <is>
          <t>Multiple filters can be applied simultaneously</t>
        </is>
      </c>
      <c r="E11" s="8" t="inlineStr">
        <is>
          <t>All</t>
        </is>
      </c>
      <c r="F11" s="9" t="inlineStr">
        <is>
          <t>High</t>
        </is>
      </c>
      <c r="G11" s="8" t="inlineStr">
        <is>
          <t>Not Started</t>
        </is>
      </c>
      <c r="H11" s="8" t="n"/>
    </row>
    <row r="12" ht="25.5" customHeight="1">
      <c r="A12" s="8" t="n">
        <v>11</v>
      </c>
      <c r="B12" s="8" t="inlineStr">
        <is>
          <t>Functional</t>
        </is>
      </c>
      <c r="C12" s="8" t="inlineStr">
        <is>
          <t>Sort</t>
        </is>
      </c>
      <c r="D12" s="8" t="inlineStr">
        <is>
          <t>Sort dropdown opens and shows alternative sort options (price, calories, distance)</t>
        </is>
      </c>
      <c r="E12" s="8" t="inlineStr">
        <is>
          <t>All</t>
        </is>
      </c>
      <c r="F12" s="12" t="inlineStr">
        <is>
          <t>Critical</t>
        </is>
      </c>
      <c r="G12" s="8" t="inlineStr">
        <is>
          <t>Not Started</t>
        </is>
      </c>
      <c r="H12" s="8" t="inlineStr">
        <is>
          <t>BUG: Dropdown does not open</t>
        </is>
      </c>
    </row>
    <row r="13">
      <c r="A13" s="8" t="n">
        <v>12</v>
      </c>
      <c r="B13" s="8" t="inlineStr">
        <is>
          <t>Functional</t>
        </is>
      </c>
      <c r="C13" s="8" t="inlineStr">
        <is>
          <t>Sort</t>
        </is>
      </c>
      <c r="D13" s="8" t="inlineStr">
        <is>
          <t>Changing sort order re-orders the results list correctly</t>
        </is>
      </c>
      <c r="E13" s="8" t="inlineStr">
        <is>
          <t>All</t>
        </is>
      </c>
      <c r="F13" s="9" t="inlineStr">
        <is>
          <t>High</t>
        </is>
      </c>
      <c r="G13" s="8" t="inlineStr">
        <is>
          <t>Not Started</t>
        </is>
      </c>
      <c r="H13" s="8" t="n"/>
    </row>
    <row r="14" ht="25.5" customHeight="1">
      <c r="A14" s="8" t="n">
        <v>13</v>
      </c>
      <c r="B14" s="8" t="inlineStr">
        <is>
          <t>Functional</t>
        </is>
      </c>
      <c r="C14" s="8" t="inlineStr">
        <is>
          <t>Eat Out</t>
        </is>
      </c>
      <c r="D14" s="8" t="inlineStr">
        <is>
          <t>+ button logs meal and shows visual confirmation (toast/animation)</t>
        </is>
      </c>
      <c r="E14" s="8" t="inlineStr">
        <is>
          <t>All</t>
        </is>
      </c>
      <c r="F14" s="12" t="inlineStr">
        <is>
          <t>Critical</t>
        </is>
      </c>
      <c r="G14" s="8" t="inlineStr">
        <is>
          <t>Not Started</t>
        </is>
      </c>
      <c r="H14" s="8" t="inlineStr">
        <is>
          <t>BUG: No visual feedback currently</t>
        </is>
      </c>
    </row>
    <row r="15">
      <c r="A15" s="8" t="n">
        <v>14</v>
      </c>
      <c r="B15" s="8" t="inlineStr">
        <is>
          <t>Functional</t>
        </is>
      </c>
      <c r="C15" s="8" t="inlineStr">
        <is>
          <t>Eat Out</t>
        </is>
      </c>
      <c r="D15" s="8" t="inlineStr">
        <is>
          <t>+ button updates Home screen remaining calories in real time</t>
        </is>
      </c>
      <c r="E15" s="8" t="inlineStr">
        <is>
          <t>All</t>
        </is>
      </c>
      <c r="F15" s="12" t="inlineStr">
        <is>
          <t>Critical</t>
        </is>
      </c>
      <c r="G15" s="8" t="inlineStr">
        <is>
          <t>Not Started</t>
        </is>
      </c>
      <c r="H15" s="8" t="n"/>
    </row>
    <row r="16" ht="25.5" customHeight="1">
      <c r="A16" s="8" t="n">
        <v>15</v>
      </c>
      <c r="B16" s="8" t="inlineStr">
        <is>
          <t>Functional</t>
        </is>
      </c>
      <c r="C16" s="8" t="inlineStr">
        <is>
          <t>Eat Out</t>
        </is>
      </c>
      <c r="D16" s="8" t="inlineStr">
        <is>
          <t>Tapping meal card opens a detail view with full macro breakdown</t>
        </is>
      </c>
      <c r="E16" s="8" t="inlineStr">
        <is>
          <t>All</t>
        </is>
      </c>
      <c r="F16" s="9" t="inlineStr">
        <is>
          <t>High</t>
        </is>
      </c>
      <c r="G16" s="8" t="inlineStr">
        <is>
          <t>Not Started</t>
        </is>
      </c>
      <c r="H16" s="8" t="inlineStr">
        <is>
          <t>BUG: No detail view exists</t>
        </is>
      </c>
    </row>
    <row r="17">
      <c r="A17" s="8" t="n">
        <v>16</v>
      </c>
      <c r="B17" s="8" t="inlineStr">
        <is>
          <t>Functional</t>
        </is>
      </c>
      <c r="C17" s="8" t="inlineStr">
        <is>
          <t>Cook/Prep</t>
        </is>
      </c>
      <c r="D17" s="8" t="inlineStr">
        <is>
          <t>Recipe prices display correctly (not $NaN)</t>
        </is>
      </c>
      <c r="E17" s="8" t="inlineStr">
        <is>
          <t>All</t>
        </is>
      </c>
      <c r="F17" s="12" t="inlineStr">
        <is>
          <t>Critical</t>
        </is>
      </c>
      <c r="G17" s="8" t="inlineStr">
        <is>
          <t>Not Started</t>
        </is>
      </c>
      <c r="H17" s="8" t="inlineStr">
        <is>
          <t>BUG: All recipes show $NaN/serving</t>
        </is>
      </c>
    </row>
    <row r="18" ht="25.5" customHeight="1">
      <c r="A18" s="8" t="n">
        <v>17</v>
      </c>
      <c r="B18" s="8" t="inlineStr">
        <is>
          <t>Functional</t>
        </is>
      </c>
      <c r="C18" s="8" t="inlineStr">
        <is>
          <t>Cook/Prep</t>
        </is>
      </c>
      <c r="D18" s="8" t="inlineStr">
        <is>
          <t>Ingredient names resolve from database (not "Ingredient #1 (not in DB)")</t>
        </is>
      </c>
      <c r="E18" s="8" t="inlineStr">
        <is>
          <t>All</t>
        </is>
      </c>
      <c r="F18" s="12" t="inlineStr">
        <is>
          <t>Critical</t>
        </is>
      </c>
      <c r="G18" s="8" t="inlineStr">
        <is>
          <t>Not Started</t>
        </is>
      </c>
      <c r="H18" s="8" t="inlineStr">
        <is>
          <t>BUG: All ingredients unnamed</t>
        </is>
      </c>
    </row>
    <row r="19">
      <c r="A19" s="8" t="n">
        <v>18</v>
      </c>
      <c r="B19" s="8" t="inlineStr">
        <is>
          <t>Functional</t>
        </is>
      </c>
      <c r="C19" s="8" t="inlineStr">
        <is>
          <t>Cook/Prep</t>
        </is>
      </c>
      <c r="D19" s="8" t="inlineStr">
        <is>
          <t>Recipe expand/collapse works correctly</t>
        </is>
      </c>
      <c r="E19" s="8" t="inlineStr">
        <is>
          <t>All</t>
        </is>
      </c>
      <c r="F19" s="9" t="inlineStr">
        <is>
          <t>High</t>
        </is>
      </c>
      <c r="G19" s="8" t="inlineStr">
        <is>
          <t>Not Started</t>
        </is>
      </c>
      <c r="H19" s="8" t="inlineStr">
        <is>
          <t>Works ✓</t>
        </is>
      </c>
    </row>
    <row r="20" ht="25.5" customHeight="1">
      <c r="A20" s="8" t="n">
        <v>19</v>
      </c>
      <c r="B20" s="8" t="inlineStr">
        <is>
          <t>Functional</t>
        </is>
      </c>
      <c r="C20" s="8" t="inlineStr">
        <is>
          <t>Cook/Prep</t>
        </is>
      </c>
      <c r="D20" s="8" t="inlineStr">
        <is>
          <t>"Log 1 Serving" button logs the meal and updates Home calories</t>
        </is>
      </c>
      <c r="E20" s="8" t="inlineStr">
        <is>
          <t>All</t>
        </is>
      </c>
      <c r="F20" s="12" t="inlineStr">
        <is>
          <t>Critical</t>
        </is>
      </c>
      <c r="G20" s="8" t="inlineStr">
        <is>
          <t>Not Started</t>
        </is>
      </c>
      <c r="H20" s="8" t="n"/>
    </row>
    <row r="21">
      <c r="A21" s="8" t="n">
        <v>20</v>
      </c>
      <c r="B21" s="8" t="inlineStr">
        <is>
          <t>Functional</t>
        </is>
      </c>
      <c r="C21" s="8" t="inlineStr">
        <is>
          <t>Cook/Prep</t>
        </is>
      </c>
      <c r="D21" s="8" t="inlineStr">
        <is>
          <t>Recipe search works for recipe names and ingredients</t>
        </is>
      </c>
      <c r="E21" s="8" t="inlineStr">
        <is>
          <t>All</t>
        </is>
      </c>
      <c r="F21" s="9" t="inlineStr">
        <is>
          <t>High</t>
        </is>
      </c>
      <c r="G21" s="8" t="inlineStr">
        <is>
          <t>Not Started</t>
        </is>
      </c>
      <c r="H21" s="8" t="n"/>
    </row>
    <row r="22" ht="25.5" customHeight="1">
      <c r="A22" s="8" t="n">
        <v>21</v>
      </c>
      <c r="B22" s="8" t="inlineStr">
        <is>
          <t>Functional</t>
        </is>
      </c>
      <c r="C22" s="8" t="inlineStr">
        <is>
          <t>Location</t>
        </is>
      </c>
      <c r="D22" s="8" t="inlineStr">
        <is>
          <t>App gracefully handles location permission denial with manual fallback</t>
        </is>
      </c>
      <c r="E22" s="8" t="inlineStr">
        <is>
          <t>All</t>
        </is>
      </c>
      <c r="F22" s="12" t="inlineStr">
        <is>
          <t>Critical</t>
        </is>
      </c>
      <c r="G22" s="8" t="inlineStr">
        <is>
          <t>Not Started</t>
        </is>
      </c>
      <c r="H22" s="8" t="inlineStr">
        <is>
          <t>BUG: Shows "Timeout expired" with no recovery</t>
        </is>
      </c>
    </row>
    <row r="23">
      <c r="A23" s="8" t="n">
        <v>22</v>
      </c>
      <c r="B23" s="8" t="inlineStr">
        <is>
          <t>Functional</t>
        </is>
      </c>
      <c r="C23" s="8" t="inlineStr">
        <is>
          <t>Location</t>
        </is>
      </c>
      <c r="D23" s="8" t="inlineStr">
        <is>
          <t>App gracefully handles slow GPS with loading state</t>
        </is>
      </c>
      <c r="E23" s="8" t="inlineStr">
        <is>
          <t>All</t>
        </is>
      </c>
      <c r="F23" s="9" t="inlineStr">
        <is>
          <t>High</t>
        </is>
      </c>
      <c r="G23" s="8" t="inlineStr">
        <is>
          <t>Not Started</t>
        </is>
      </c>
      <c r="H23" s="8" t="n"/>
    </row>
    <row r="24">
      <c r="A24" s="8" t="n">
        <v>23</v>
      </c>
      <c r="B24" s="8" t="inlineStr">
        <is>
          <t>Functional</t>
        </is>
      </c>
      <c r="C24" s="8" t="inlineStr">
        <is>
          <t>Home</t>
        </is>
      </c>
      <c r="D24" s="8" t="inlineStr">
        <is>
          <t>Nearby Eats section loads automatically with protein/$ data</t>
        </is>
      </c>
      <c r="E24" s="8" t="inlineStr">
        <is>
          <t>All</t>
        </is>
      </c>
      <c r="F24" s="9" t="inlineStr">
        <is>
          <t>High</t>
        </is>
      </c>
      <c r="G24" s="8" t="inlineStr">
        <is>
          <t>Not Started</t>
        </is>
      </c>
      <c r="H24" s="8" t="inlineStr">
        <is>
          <t>Works ✓</t>
        </is>
      </c>
    </row>
    <row r="25">
      <c r="A25" s="8" t="n">
        <v>24</v>
      </c>
      <c r="B25" s="8" t="inlineStr">
        <is>
          <t>Functional</t>
        </is>
      </c>
      <c r="C25" s="8" t="inlineStr">
        <is>
          <t>Home</t>
        </is>
      </c>
      <c r="D25" s="8" t="inlineStr">
        <is>
          <t>"Find more →" button navigates to Eat tab</t>
        </is>
      </c>
      <c r="E25" s="8" t="inlineStr">
        <is>
          <t>All</t>
        </is>
      </c>
      <c r="F25" s="10" t="inlineStr">
        <is>
          <t>Medium</t>
        </is>
      </c>
      <c r="G25" s="8" t="inlineStr">
        <is>
          <t>Not Started</t>
        </is>
      </c>
      <c r="H25" s="8" t="n"/>
    </row>
    <row r="26">
      <c r="A26" s="8" t="n">
        <v>25</v>
      </c>
      <c r="B26" s="8" t="inlineStr">
        <is>
          <t>Functional</t>
        </is>
      </c>
      <c r="C26" s="8" t="inlineStr">
        <is>
          <t>Home</t>
        </is>
      </c>
      <c r="D26" s="8" t="inlineStr">
        <is>
          <t>Log food / Scan / Activity quick action buttons work</t>
        </is>
      </c>
      <c r="E26" s="8" t="inlineStr">
        <is>
          <t>All</t>
        </is>
      </c>
      <c r="F26" s="12" t="inlineStr">
        <is>
          <t>Critical</t>
        </is>
      </c>
      <c r="G26" s="8" t="inlineStr">
        <is>
          <t>Not Started</t>
        </is>
      </c>
      <c r="H26" s="8" t="n"/>
    </row>
    <row r="27">
      <c r="A27" s="8" t="n">
        <v>26</v>
      </c>
      <c r="B27" s="8" t="inlineStr">
        <is>
          <t>Functional</t>
        </is>
      </c>
      <c r="C27" s="8" t="inlineStr">
        <is>
          <t>Log</t>
        </is>
      </c>
      <c r="D27" s="8" t="inlineStr">
        <is>
          <t>Food tab search returns and logs food correctly</t>
        </is>
      </c>
      <c r="E27" s="8" t="inlineStr">
        <is>
          <t>All</t>
        </is>
      </c>
      <c r="F27" s="12" t="inlineStr">
        <is>
          <t>Critical</t>
        </is>
      </c>
      <c r="G27" s="8" t="inlineStr">
        <is>
          <t>Not Started</t>
        </is>
      </c>
      <c r="H27" s="8" t="n"/>
    </row>
    <row r="28">
      <c r="A28" s="8" t="n">
        <v>27</v>
      </c>
      <c r="B28" s="8" t="inlineStr">
        <is>
          <t>Functional</t>
        </is>
      </c>
      <c r="C28" s="8" t="inlineStr">
        <is>
          <t>Log</t>
        </is>
      </c>
      <c r="D28" s="8" t="inlineStr">
        <is>
          <t>Scan tab opens camera and recognises food</t>
        </is>
      </c>
      <c r="E28" s="8" t="inlineStr">
        <is>
          <t>All</t>
        </is>
      </c>
      <c r="F28" s="9" t="inlineStr">
        <is>
          <t>High</t>
        </is>
      </c>
      <c r="G28" s="8" t="inlineStr">
        <is>
          <t>Not Started</t>
        </is>
      </c>
      <c r="H28" s="8" t="n"/>
    </row>
    <row r="29">
      <c r="A29" s="8" t="n">
        <v>28</v>
      </c>
      <c r="B29" s="8" t="inlineStr">
        <is>
          <t>Functional</t>
        </is>
      </c>
      <c r="C29" s="8" t="inlineStr">
        <is>
          <t>Log</t>
        </is>
      </c>
      <c r="D29" s="8" t="inlineStr">
        <is>
          <t>Activity tab logs exercise and updates burned calories</t>
        </is>
      </c>
      <c r="E29" s="8" t="inlineStr">
        <is>
          <t>All</t>
        </is>
      </c>
      <c r="F29" s="9" t="inlineStr">
        <is>
          <t>High</t>
        </is>
      </c>
      <c r="G29" s="8" t="inlineStr">
        <is>
          <t>Not Started</t>
        </is>
      </c>
      <c r="H29" s="8" t="n"/>
    </row>
    <row r="30" ht="25.5" customHeight="1">
      <c r="A30" s="8" t="n">
        <v>29</v>
      </c>
      <c r="B30" s="8" t="inlineStr">
        <is>
          <t>Functional</t>
        </is>
      </c>
      <c r="C30" s="8" t="inlineStr">
        <is>
          <t>Log</t>
        </is>
      </c>
      <c r="D30" s="8" t="inlineStr">
        <is>
          <t>Meal timing (Breakfast/Lunch/Dinner/Snack) chips categorise logs correctly</t>
        </is>
      </c>
      <c r="E30" s="8" t="inlineStr">
        <is>
          <t>All</t>
        </is>
      </c>
      <c r="F30" s="10" t="inlineStr">
        <is>
          <t>Medium</t>
        </is>
      </c>
      <c r="G30" s="8" t="inlineStr">
        <is>
          <t>Not Started</t>
        </is>
      </c>
      <c r="H30" s="8" t="n"/>
    </row>
    <row r="31" ht="25.5" customHeight="1">
      <c r="A31" s="8" t="n">
        <v>30</v>
      </c>
      <c r="B31" s="8" t="inlineStr">
        <is>
          <t>Functional</t>
        </is>
      </c>
      <c r="C31" s="8" t="inlineStr">
        <is>
          <t>Log</t>
        </is>
      </c>
      <c r="D31" s="8" t="inlineStr">
        <is>
          <t>"Browse Grab &amp; Go" link works and shows convenience food options</t>
        </is>
      </c>
      <c r="E31" s="8" t="inlineStr">
        <is>
          <t>All</t>
        </is>
      </c>
      <c r="F31" s="10" t="inlineStr">
        <is>
          <t>Medium</t>
        </is>
      </c>
      <c r="G31" s="8" t="inlineStr">
        <is>
          <t>Not Started</t>
        </is>
      </c>
      <c r="H31" s="8" t="n"/>
    </row>
    <row r="32">
      <c r="A32" s="8" t="n">
        <v>31</v>
      </c>
      <c r="B32" s="8" t="inlineStr">
        <is>
          <t>Functional</t>
        </is>
      </c>
      <c r="C32" s="8" t="inlineStr">
        <is>
          <t>Log</t>
        </is>
      </c>
      <c r="D32" s="8" t="inlineStr">
        <is>
          <t>7-day history chart updates correctly as meals are logged</t>
        </is>
      </c>
      <c r="E32" s="8" t="inlineStr">
        <is>
          <t>All</t>
        </is>
      </c>
      <c r="F32" s="9" t="inlineStr">
        <is>
          <t>High</t>
        </is>
      </c>
      <c r="G32" s="8" t="inlineStr">
        <is>
          <t>Not Started</t>
        </is>
      </c>
      <c r="H32" s="8" t="n"/>
    </row>
    <row r="33">
      <c r="A33" s="8" t="n">
        <v>32</v>
      </c>
      <c r="B33" s="8" t="inlineStr">
        <is>
          <t>Functional</t>
        </is>
      </c>
      <c r="C33" s="8" t="inlineStr">
        <is>
          <t>Me &gt; Body</t>
        </is>
      </c>
      <c r="D33" s="8" t="inlineStr">
        <is>
          <t>Weight logging saves and appears on weight chart</t>
        </is>
      </c>
      <c r="E33" s="8" t="inlineStr">
        <is>
          <t>All</t>
        </is>
      </c>
      <c r="F33" s="9" t="inlineStr">
        <is>
          <t>High</t>
        </is>
      </c>
      <c r="G33" s="8" t="inlineStr">
        <is>
          <t>Not Started</t>
        </is>
      </c>
      <c r="H33" s="8" t="n"/>
    </row>
    <row r="34">
      <c r="A34" s="8" t="n">
        <v>33</v>
      </c>
      <c r="B34" s="8" t="inlineStr">
        <is>
          <t>Functional</t>
        </is>
      </c>
      <c r="C34" s="8" t="inlineStr">
        <is>
          <t>Me &gt; Body</t>
        </is>
      </c>
      <c r="D34" s="8" t="inlineStr">
        <is>
          <t>Body fat % logging works (optional field)</t>
        </is>
      </c>
      <c r="E34" s="8" t="inlineStr">
        <is>
          <t>All</t>
        </is>
      </c>
      <c r="F34" s="10" t="inlineStr">
        <is>
          <t>Medium</t>
        </is>
      </c>
      <c r="G34" s="8" t="inlineStr">
        <is>
          <t>Not Started</t>
        </is>
      </c>
      <c r="H34" s="8" t="n"/>
    </row>
    <row r="35">
      <c r="A35" s="8" t="n">
        <v>34</v>
      </c>
      <c r="B35" s="8" t="inlineStr">
        <is>
          <t>Functional</t>
        </is>
      </c>
      <c r="C35" s="8" t="inlineStr">
        <is>
          <t>Me &gt; Body</t>
        </is>
      </c>
      <c r="D35" s="8" t="inlineStr">
        <is>
          <t>BMR and TDEE values update when body stats change</t>
        </is>
      </c>
      <c r="E35" s="8" t="inlineStr">
        <is>
          <t>All</t>
        </is>
      </c>
      <c r="F35" s="9" t="inlineStr">
        <is>
          <t>High</t>
        </is>
      </c>
      <c r="G35" s="8" t="inlineStr">
        <is>
          <t>Not Started</t>
        </is>
      </c>
      <c r="H35" s="8" t="n"/>
    </row>
    <row r="36" ht="25.5" customHeight="1">
      <c r="A36" s="8" t="n">
        <v>35</v>
      </c>
      <c r="B36" s="8" t="inlineStr">
        <is>
          <t>Functional</t>
        </is>
      </c>
      <c r="C36" s="8" t="inlineStr">
        <is>
          <t>Me &gt; Goals</t>
        </is>
      </c>
      <c r="D36" s="8" t="inlineStr">
        <is>
          <t>Goal type selection (Lose/Build/Maintain) works and affects calorie target</t>
        </is>
      </c>
      <c r="E36" s="8" t="inlineStr">
        <is>
          <t>All</t>
        </is>
      </c>
      <c r="F36" s="12" t="inlineStr">
        <is>
          <t>Critical</t>
        </is>
      </c>
      <c r="G36" s="8" t="inlineStr">
        <is>
          <t>Not Started</t>
        </is>
      </c>
      <c r="H36" s="8" t="n"/>
    </row>
    <row r="37">
      <c r="A37" s="8" t="n">
        <v>36</v>
      </c>
      <c r="B37" s="8" t="inlineStr">
        <is>
          <t>Functional</t>
        </is>
      </c>
      <c r="C37" s="8" t="inlineStr">
        <is>
          <t>Me &gt; Goals</t>
        </is>
      </c>
      <c r="D37" s="8" t="inlineStr">
        <is>
          <t>Body stats (weight, target, age, height) save correctly</t>
        </is>
      </c>
      <c r="E37" s="8" t="inlineStr">
        <is>
          <t>All</t>
        </is>
      </c>
      <c r="F37" s="12" t="inlineStr">
        <is>
          <t>Critical</t>
        </is>
      </c>
      <c r="G37" s="8" t="inlineStr">
        <is>
          <t>Not Started</t>
        </is>
      </c>
      <c r="H37" s="8" t="n"/>
    </row>
    <row r="38">
      <c r="A38" s="8" t="n">
        <v>37</v>
      </c>
      <c r="B38" s="8" t="inlineStr">
        <is>
          <t>Functional</t>
        </is>
      </c>
      <c r="C38" s="8" t="inlineStr">
        <is>
          <t>Me &gt; Goals</t>
        </is>
      </c>
      <c r="D38" s="8" t="inlineStr">
        <is>
          <t>Activity level selection updates TDEE and target preview</t>
        </is>
      </c>
      <c r="E38" s="8" t="inlineStr">
        <is>
          <t>All</t>
        </is>
      </c>
      <c r="F38" s="12" t="inlineStr">
        <is>
          <t>Critical</t>
        </is>
      </c>
      <c r="G38" s="8" t="inlineStr">
        <is>
          <t>Not Started</t>
        </is>
      </c>
      <c r="H38" s="8" t="inlineStr">
        <is>
          <t>Observed: preview shows live calculation ✓</t>
        </is>
      </c>
    </row>
    <row r="39">
      <c r="A39" s="8" t="n">
        <v>38</v>
      </c>
      <c r="B39" s="8" t="inlineStr">
        <is>
          <t>Functional</t>
        </is>
      </c>
      <c r="C39" s="8" t="inlineStr">
        <is>
          <t>Me &gt; Goals</t>
        </is>
      </c>
      <c r="D39" s="8" t="inlineStr">
        <is>
          <t>"Save Goals" button persists changes across app restart</t>
        </is>
      </c>
      <c r="E39" s="8" t="inlineStr">
        <is>
          <t>All</t>
        </is>
      </c>
      <c r="F39" s="12" t="inlineStr">
        <is>
          <t>Critical</t>
        </is>
      </c>
      <c r="G39" s="8" t="inlineStr">
        <is>
          <t>Not Started</t>
        </is>
      </c>
      <c r="H39" s="8" t="n"/>
    </row>
    <row r="40">
      <c r="A40" s="8" t="n">
        <v>39</v>
      </c>
      <c r="B40" s="8" t="inlineStr">
        <is>
          <t>Functional</t>
        </is>
      </c>
      <c r="C40" s="8" t="inlineStr">
        <is>
          <t>Move</t>
        </is>
      </c>
      <c r="D40" s="8" t="inlineStr">
        <is>
          <t>Active Places Nearby loads with valid location</t>
        </is>
      </c>
      <c r="E40" s="8" t="inlineStr">
        <is>
          <t>All</t>
        </is>
      </c>
      <c r="F40" s="10" t="inlineStr">
        <is>
          <t>Medium</t>
        </is>
      </c>
      <c r="G40" s="8" t="inlineStr">
        <is>
          <t>Not Started</t>
        </is>
      </c>
      <c r="H40" s="8" t="n"/>
    </row>
    <row r="41">
      <c r="A41" s="8" t="n">
        <v>40</v>
      </c>
      <c r="B41" s="8" t="inlineStr">
        <is>
          <t>Functional</t>
        </is>
      </c>
      <c r="C41" s="8" t="inlineStr">
        <is>
          <t>Move</t>
        </is>
      </c>
      <c r="D41" s="8" t="inlineStr">
        <is>
          <t>Log an Activity shows 31+ activity types and logs correctly</t>
        </is>
      </c>
      <c r="E41" s="8" t="inlineStr">
        <is>
          <t>All</t>
        </is>
      </c>
      <c r="F41" s="9" t="inlineStr">
        <is>
          <t>High</t>
        </is>
      </c>
      <c r="G41" s="8" t="inlineStr">
        <is>
          <t>Not Started</t>
        </is>
      </c>
      <c r="H41" s="8" t="n"/>
    </row>
    <row r="42">
      <c r="A42" s="8" t="n">
        <v>41</v>
      </c>
      <c r="B42" s="8" t="inlineStr">
        <is>
          <t>UI / UX</t>
        </is>
      </c>
      <c r="C42" s="8" t="inlineStr">
        <is>
          <t>Responsive</t>
        </is>
      </c>
      <c r="D42" s="8" t="inlineStr">
        <is>
          <t>App renders correctly on iPhone SE (small screen)</t>
        </is>
      </c>
      <c r="E42" s="8" t="inlineStr">
        <is>
          <t>iOS</t>
        </is>
      </c>
      <c r="F42" s="9" t="inlineStr">
        <is>
          <t>High</t>
        </is>
      </c>
      <c r="G42" s="8" t="inlineStr">
        <is>
          <t>Not Started</t>
        </is>
      </c>
      <c r="H42" s="8" t="n"/>
    </row>
    <row r="43">
      <c r="A43" s="8" t="n">
        <v>42</v>
      </c>
      <c r="B43" s="8" t="inlineStr">
        <is>
          <t>UI / UX</t>
        </is>
      </c>
      <c r="C43" s="8" t="inlineStr">
        <is>
          <t>Responsive</t>
        </is>
      </c>
      <c r="D43" s="8" t="inlineStr">
        <is>
          <t>App renders correctly on iPhone 15 Pro Max (large screen)</t>
        </is>
      </c>
      <c r="E43" s="8" t="inlineStr">
        <is>
          <t>iOS</t>
        </is>
      </c>
      <c r="F43" s="9" t="inlineStr">
        <is>
          <t>High</t>
        </is>
      </c>
      <c r="G43" s="8" t="inlineStr">
        <is>
          <t>Not Started</t>
        </is>
      </c>
      <c r="H43" s="8" t="n"/>
    </row>
    <row r="44">
      <c r="A44" s="8" t="n">
        <v>43</v>
      </c>
      <c r="B44" s="8" t="inlineStr">
        <is>
          <t>UI / UX</t>
        </is>
      </c>
      <c r="C44" s="8" t="inlineStr">
        <is>
          <t>Responsive</t>
        </is>
      </c>
      <c r="D44" s="8" t="inlineStr">
        <is>
          <t>App renders correctly on mid-range Android (Samsung A14)</t>
        </is>
      </c>
      <c r="E44" s="8" t="inlineStr">
        <is>
          <t>Android</t>
        </is>
      </c>
      <c r="F44" s="9" t="inlineStr">
        <is>
          <t>High</t>
        </is>
      </c>
      <c r="G44" s="8" t="inlineStr">
        <is>
          <t>Not Started</t>
        </is>
      </c>
      <c r="H44" s="8" t="n"/>
    </row>
    <row r="45">
      <c r="A45" s="8" t="n">
        <v>44</v>
      </c>
      <c r="B45" s="8" t="inlineStr">
        <is>
          <t>UI / UX</t>
        </is>
      </c>
      <c r="C45" s="8" t="inlineStr">
        <is>
          <t>Responsive</t>
        </is>
      </c>
      <c r="D45" s="8" t="inlineStr">
        <is>
          <t>PWA renders correctly on mobile Chrome + Safari</t>
        </is>
      </c>
      <c r="E45" s="8" t="inlineStr">
        <is>
          <t>PWA</t>
        </is>
      </c>
      <c r="F45" s="9" t="inlineStr">
        <is>
          <t>High</t>
        </is>
      </c>
      <c r="G45" s="8" t="inlineStr">
        <is>
          <t>Not Started</t>
        </is>
      </c>
      <c r="H45" s="8" t="n"/>
    </row>
    <row r="46" ht="25.5" customHeight="1">
      <c r="A46" s="8" t="n">
        <v>45</v>
      </c>
      <c r="B46" s="8" t="inlineStr">
        <is>
          <t>UI / UX</t>
        </is>
      </c>
      <c r="C46" s="8" t="inlineStr">
        <is>
          <t>Responsive</t>
        </is>
      </c>
      <c r="D46" s="8" t="inlineStr">
        <is>
          <t>PWA renders correctly on desktop browsers</t>
        </is>
      </c>
      <c r="E46" s="8" t="inlineStr">
        <is>
          <t>PWA</t>
        </is>
      </c>
      <c r="F46" s="10" t="inlineStr">
        <is>
          <t>Medium</t>
        </is>
      </c>
      <c r="G46" s="8" t="inlineStr">
        <is>
          <t>Not Started</t>
        </is>
      </c>
      <c r="H46" s="8" t="inlineStr">
        <is>
          <t>Desktop layout uses excess whitespace — consider max-width container</t>
        </is>
      </c>
    </row>
    <row r="47">
      <c r="A47" s="8" t="n">
        <v>46</v>
      </c>
      <c r="B47" s="8" t="inlineStr">
        <is>
          <t>UI / UX</t>
        </is>
      </c>
      <c r="C47" s="8" t="inlineStr">
        <is>
          <t>Accessibility</t>
        </is>
      </c>
      <c r="D47" s="8" t="inlineStr">
        <is>
          <t>All text meets WCAG AA contrast ratio (4.5:1)</t>
        </is>
      </c>
      <c r="E47" s="8" t="inlineStr">
        <is>
          <t>All</t>
        </is>
      </c>
      <c r="F47" s="9" t="inlineStr">
        <is>
          <t>High</t>
        </is>
      </c>
      <c r="G47" s="8" t="inlineStr">
        <is>
          <t>Not Started</t>
        </is>
      </c>
      <c r="H47" s="8" t="n"/>
    </row>
    <row r="48">
      <c r="A48" s="8" t="n">
        <v>47</v>
      </c>
      <c r="B48" s="8" t="inlineStr">
        <is>
          <t>UI / UX</t>
        </is>
      </c>
      <c r="C48" s="8" t="inlineStr">
        <is>
          <t>Accessibility</t>
        </is>
      </c>
      <c r="D48" s="8" t="inlineStr">
        <is>
          <t>Screen reader can navigate all key flows</t>
        </is>
      </c>
      <c r="E48" s="8" t="inlineStr">
        <is>
          <t>All</t>
        </is>
      </c>
      <c r="F48" s="10" t="inlineStr">
        <is>
          <t>Medium</t>
        </is>
      </c>
      <c r="G48" s="8" t="inlineStr">
        <is>
          <t>Not Started</t>
        </is>
      </c>
      <c r="H48" s="8" t="n"/>
    </row>
    <row r="49">
      <c r="A49" s="8" t="n">
        <v>48</v>
      </c>
      <c r="B49" s="8" t="inlineStr">
        <is>
          <t>UI / UX</t>
        </is>
      </c>
      <c r="C49" s="8" t="inlineStr">
        <is>
          <t>Navigation</t>
        </is>
      </c>
      <c r="D49" s="8" t="inlineStr">
        <is>
          <t>Bottom nav highlights correct active tab</t>
        </is>
      </c>
      <c r="E49" s="8" t="inlineStr">
        <is>
          <t>All</t>
        </is>
      </c>
      <c r="F49" s="9" t="inlineStr">
        <is>
          <t>High</t>
        </is>
      </c>
      <c r="G49" s="8" t="inlineStr">
        <is>
          <t>Not Started</t>
        </is>
      </c>
      <c r="H49" s="8" t="inlineStr">
        <is>
          <t>Works ✓</t>
        </is>
      </c>
    </row>
    <row r="50">
      <c r="A50" s="8" t="n">
        <v>49</v>
      </c>
      <c r="B50" s="8" t="inlineStr">
        <is>
          <t>UI / UX</t>
        </is>
      </c>
      <c r="C50" s="8" t="inlineStr">
        <is>
          <t>Navigation</t>
        </is>
      </c>
      <c r="D50" s="8" t="inlineStr">
        <is>
          <t>Back button / swipe-back works correctly</t>
        </is>
      </c>
      <c r="E50" s="8" t="inlineStr">
        <is>
          <t>All</t>
        </is>
      </c>
      <c r="F50" s="9" t="inlineStr">
        <is>
          <t>High</t>
        </is>
      </c>
      <c r="G50" s="8" t="inlineStr">
        <is>
          <t>Not Started</t>
        </is>
      </c>
      <c r="H50" s="8" t="n"/>
    </row>
    <row r="51">
      <c r="A51" s="8" t="n">
        <v>50</v>
      </c>
      <c r="B51" s="8" t="inlineStr">
        <is>
          <t>UI / UX</t>
        </is>
      </c>
      <c r="C51" s="8" t="inlineStr">
        <is>
          <t>Loading</t>
        </is>
      </c>
      <c r="D51" s="8" t="inlineStr">
        <is>
          <t>Skeleton loaders shown during data loading</t>
        </is>
      </c>
      <c r="E51" s="8" t="inlineStr">
        <is>
          <t>All</t>
        </is>
      </c>
      <c r="F51" s="10" t="inlineStr">
        <is>
          <t>Medium</t>
        </is>
      </c>
      <c r="G51" s="8" t="inlineStr">
        <is>
          <t>Not Started</t>
        </is>
      </c>
      <c r="H51" s="8" t="n"/>
    </row>
    <row r="52">
      <c r="A52" s="8" t="n">
        <v>51</v>
      </c>
      <c r="B52" s="8" t="inlineStr">
        <is>
          <t>UI / UX</t>
        </is>
      </c>
      <c r="C52" s="8" t="inlineStr">
        <is>
          <t>Error</t>
        </is>
      </c>
      <c r="D52" s="8" t="inlineStr">
        <is>
          <t>Friendly error when network unavailable</t>
        </is>
      </c>
      <c r="E52" s="8" t="inlineStr">
        <is>
          <t>All</t>
        </is>
      </c>
      <c r="F52" s="9" t="inlineStr">
        <is>
          <t>High</t>
        </is>
      </c>
      <c r="G52" s="8" t="inlineStr">
        <is>
          <t>Not Started</t>
        </is>
      </c>
      <c r="H52" s="8" t="n"/>
    </row>
    <row r="53">
      <c r="A53" s="8" t="n">
        <v>52</v>
      </c>
      <c r="B53" s="8" t="inlineStr">
        <is>
          <t>UI / UX</t>
        </is>
      </c>
      <c r="C53" s="8" t="inlineStr">
        <is>
          <t>Localisation</t>
        </is>
      </c>
      <c r="D53" s="8" t="inlineStr">
        <is>
          <t>Currency is SGD ($), distance in km, units in kcal/kg</t>
        </is>
      </c>
      <c r="E53" s="8" t="inlineStr">
        <is>
          <t>All</t>
        </is>
      </c>
      <c r="F53" s="9" t="inlineStr">
        <is>
          <t>High</t>
        </is>
      </c>
      <c r="G53" s="8" t="inlineStr">
        <is>
          <t>Not Started</t>
        </is>
      </c>
      <c r="H53" s="8" t="inlineStr">
        <is>
          <t>Observed: ✓</t>
        </is>
      </c>
    </row>
    <row r="54">
      <c r="A54" s="8" t="n">
        <v>53</v>
      </c>
      <c r="B54" s="8" t="inlineStr">
        <is>
          <t>Performance</t>
        </is>
      </c>
      <c r="C54" s="8" t="inlineStr">
        <is>
          <t>Load Time</t>
        </is>
      </c>
      <c r="D54" s="8" t="inlineStr">
        <is>
          <t>App cold start &lt; 3 seconds on mid-range device</t>
        </is>
      </c>
      <c r="E54" s="8" t="inlineStr">
        <is>
          <t>All</t>
        </is>
      </c>
      <c r="F54" s="12" t="inlineStr">
        <is>
          <t>Critical</t>
        </is>
      </c>
      <c r="G54" s="8" t="inlineStr">
        <is>
          <t>Not Started</t>
        </is>
      </c>
      <c r="H54" s="8" t="n"/>
    </row>
    <row r="55">
      <c r="A55" s="8" t="n">
        <v>54</v>
      </c>
      <c r="B55" s="8" t="inlineStr">
        <is>
          <t>Performance</t>
        </is>
      </c>
      <c r="C55" s="8" t="inlineStr">
        <is>
          <t>Load Time</t>
        </is>
      </c>
      <c r="D55" s="8" t="inlineStr">
        <is>
          <t>Search results load &lt; 2 seconds on 4G</t>
        </is>
      </c>
      <c r="E55" s="8" t="inlineStr">
        <is>
          <t>All</t>
        </is>
      </c>
      <c r="F55" s="12" t="inlineStr">
        <is>
          <t>Critical</t>
        </is>
      </c>
      <c r="G55" s="8" t="inlineStr">
        <is>
          <t>Not Started</t>
        </is>
      </c>
      <c r="H55" s="8" t="n"/>
    </row>
    <row r="56">
      <c r="A56" s="8" t="n">
        <v>55</v>
      </c>
      <c r="B56" s="8" t="inlineStr">
        <is>
          <t>Performance</t>
        </is>
      </c>
      <c r="C56" s="8" t="inlineStr">
        <is>
          <t>Scroll</t>
        </is>
      </c>
      <c r="D56" s="8" t="inlineStr">
        <is>
          <t>Eat Out list scrolls at 60fps with 100+ items</t>
        </is>
      </c>
      <c r="E56" s="8" t="inlineStr">
        <is>
          <t>All</t>
        </is>
      </c>
      <c r="F56" s="9" t="inlineStr">
        <is>
          <t>High</t>
        </is>
      </c>
      <c r="G56" s="8" t="inlineStr">
        <is>
          <t>Not Started</t>
        </is>
      </c>
      <c r="H56" s="8" t="n"/>
    </row>
    <row r="57">
      <c r="A57" s="8" t="n">
        <v>56</v>
      </c>
      <c r="B57" s="8" t="inlineStr">
        <is>
          <t>Performance</t>
        </is>
      </c>
      <c r="C57" s="8" t="inlineStr">
        <is>
          <t>API</t>
        </is>
      </c>
      <c r="D57" s="8" t="inlineStr">
        <is>
          <t>API handles 1,000 concurrent users</t>
        </is>
      </c>
      <c r="E57" s="8" t="inlineStr">
        <is>
          <t>Backend</t>
        </is>
      </c>
      <c r="F57" s="9" t="inlineStr">
        <is>
          <t>High</t>
        </is>
      </c>
      <c r="G57" s="8" t="inlineStr">
        <is>
          <t>Not Started</t>
        </is>
      </c>
      <c r="H57" s="8" t="inlineStr">
        <is>
          <t>Load test with k6 or Artillery</t>
        </is>
      </c>
    </row>
    <row r="58">
      <c r="A58" s="8" t="n">
        <v>57</v>
      </c>
      <c r="B58" s="8" t="inlineStr">
        <is>
          <t>Security</t>
        </is>
      </c>
      <c r="C58" s="8" t="inlineStr">
        <is>
          <t>Auth</t>
        </is>
      </c>
      <c r="D58" s="8" t="inlineStr">
        <is>
          <t>User auth flow works (sign up, login, password reset)</t>
        </is>
      </c>
      <c r="E58" s="8" t="inlineStr">
        <is>
          <t>All</t>
        </is>
      </c>
      <c r="F58" s="12" t="inlineStr">
        <is>
          <t>Critical</t>
        </is>
      </c>
      <c r="G58" s="8" t="inlineStr">
        <is>
          <t>Not Started</t>
        </is>
      </c>
      <c r="H58" s="8" t="n"/>
    </row>
    <row r="59">
      <c r="A59" s="8" t="n">
        <v>58</v>
      </c>
      <c r="B59" s="8" t="inlineStr">
        <is>
          <t>Security</t>
        </is>
      </c>
      <c r="C59" s="8" t="inlineStr">
        <is>
          <t>Auth</t>
        </is>
      </c>
      <c r="D59" s="8" t="inlineStr">
        <is>
          <t>Social login works (Google, Apple Sign-In)</t>
        </is>
      </c>
      <c r="E59" s="8" t="inlineStr">
        <is>
          <t>All</t>
        </is>
      </c>
      <c r="F59" s="9" t="inlineStr">
        <is>
          <t>High</t>
        </is>
      </c>
      <c r="G59" s="8" t="inlineStr">
        <is>
          <t>Not Started</t>
        </is>
      </c>
      <c r="H59" s="8" t="inlineStr">
        <is>
          <t>Apple Sign-In required for iOS</t>
        </is>
      </c>
    </row>
    <row r="60">
      <c r="A60" s="8" t="n">
        <v>59</v>
      </c>
      <c r="B60" s="8" t="inlineStr">
        <is>
          <t>Security</t>
        </is>
      </c>
      <c r="C60" s="8" t="inlineStr">
        <is>
          <t>Data</t>
        </is>
      </c>
      <c r="D60" s="8" t="inlineStr">
        <is>
          <t>All API calls use HTTPS with TLS 1.2+</t>
        </is>
      </c>
      <c r="E60" s="8" t="inlineStr">
        <is>
          <t>Backend</t>
        </is>
      </c>
      <c r="F60" s="12" t="inlineStr">
        <is>
          <t>Critical</t>
        </is>
      </c>
      <c r="G60" s="8" t="inlineStr">
        <is>
          <t>Not Started</t>
        </is>
      </c>
      <c r="H60" s="8" t="n"/>
    </row>
    <row r="61">
      <c r="A61" s="8" t="n">
        <v>60</v>
      </c>
      <c r="B61" s="8" t="inlineStr">
        <is>
          <t>Security</t>
        </is>
      </c>
      <c r="C61" s="8" t="inlineStr">
        <is>
          <t>Privacy</t>
        </is>
      </c>
      <c r="D61" s="8" t="inlineStr">
        <is>
          <t>Privacy policy accessible and covers PDPA</t>
        </is>
      </c>
      <c r="E61" s="8" t="inlineStr">
        <is>
          <t>All</t>
        </is>
      </c>
      <c r="F61" s="12" t="inlineStr">
        <is>
          <t>Critical</t>
        </is>
      </c>
      <c r="G61" s="8" t="inlineStr">
        <is>
          <t>Not Started</t>
        </is>
      </c>
      <c r="H61" s="8" t="n"/>
    </row>
    <row r="62">
      <c r="A62" s="8" t="n">
        <v>61</v>
      </c>
      <c r="B62" s="8" t="inlineStr">
        <is>
          <t>Security</t>
        </is>
      </c>
      <c r="C62" s="8" t="inlineStr">
        <is>
          <t>Privacy</t>
        </is>
      </c>
      <c r="D62" s="8" t="inlineStr">
        <is>
          <t>User can delete account and all data</t>
        </is>
      </c>
      <c r="E62" s="8" t="inlineStr">
        <is>
          <t>All</t>
        </is>
      </c>
      <c r="F62" s="12" t="inlineStr">
        <is>
          <t>Critical</t>
        </is>
      </c>
      <c r="G62" s="8" t="inlineStr">
        <is>
          <t>Not Started</t>
        </is>
      </c>
      <c r="H62" s="8" t="inlineStr">
        <is>
          <t>Required by App Store + PDPA</t>
        </is>
      </c>
    </row>
    <row r="63">
      <c r="A63" s="8" t="n">
        <v>62</v>
      </c>
      <c r="B63" s="8" t="inlineStr">
        <is>
          <t>Security</t>
        </is>
      </c>
      <c r="C63" s="8" t="inlineStr">
        <is>
          <t>Privacy</t>
        </is>
      </c>
      <c r="D63" s="8" t="inlineStr">
        <is>
          <t>Location permission request explains why</t>
        </is>
      </c>
      <c r="E63" s="8" t="inlineStr">
        <is>
          <t>All</t>
        </is>
      </c>
      <c r="F63" s="9" t="inlineStr">
        <is>
          <t>High</t>
        </is>
      </c>
      <c r="G63" s="8" t="inlineStr">
        <is>
          <t>Not Started</t>
        </is>
      </c>
      <c r="H63" s="8" t="n"/>
    </row>
    <row r="64" ht="25.5" customHeight="1">
      <c r="A64" s="8" t="n">
        <v>63</v>
      </c>
      <c r="B64" s="8" t="inlineStr">
        <is>
          <t>Data Accuracy</t>
        </is>
      </c>
      <c r="C64" s="8" t="inlineStr">
        <is>
          <t>Macros</t>
        </is>
      </c>
      <c r="D64" s="8" t="inlineStr">
        <is>
          <t>Spot-check 50 meals: calorie estimates within ±15% of reference</t>
        </is>
      </c>
      <c r="E64" s="8" t="inlineStr">
        <is>
          <t>N/A</t>
        </is>
      </c>
      <c r="F64" s="12" t="inlineStr">
        <is>
          <t>Critical</t>
        </is>
      </c>
      <c r="G64" s="8" t="inlineStr">
        <is>
          <t>Not Started</t>
        </is>
      </c>
      <c r="H64" s="8" t="inlineStr">
        <is>
          <t>#1 trust factor</t>
        </is>
      </c>
    </row>
    <row r="65">
      <c r="A65" s="8" t="n">
        <v>64</v>
      </c>
      <c r="B65" s="8" t="inlineStr">
        <is>
          <t>Data Accuracy</t>
        </is>
      </c>
      <c r="C65" s="8" t="inlineStr">
        <is>
          <t>Prices</t>
        </is>
      </c>
      <c r="D65" s="8" t="inlineStr">
        <is>
          <t>Spot-check 50 meals: prices within ±10% of actual</t>
        </is>
      </c>
      <c r="E65" s="8" t="inlineStr">
        <is>
          <t>N/A</t>
        </is>
      </c>
      <c r="F65" s="12" t="inlineStr">
        <is>
          <t>Critical</t>
        </is>
      </c>
      <c r="G65" s="8" t="inlineStr">
        <is>
          <t>Not Started</t>
        </is>
      </c>
      <c r="H65" s="8" t="n"/>
    </row>
    <row r="66">
      <c r="A66" s="8" t="n">
        <v>65</v>
      </c>
      <c r="B66" s="8" t="inlineStr">
        <is>
          <t>Data Accuracy</t>
        </is>
      </c>
      <c r="C66" s="8" t="inlineStr">
        <is>
          <t>Coverage</t>
        </is>
      </c>
      <c r="D66" s="8" t="inlineStr">
        <is>
          <t>At least 500 unique meals from 50+ locations at launch</t>
        </is>
      </c>
      <c r="E66" s="8" t="inlineStr">
        <is>
          <t>N/A</t>
        </is>
      </c>
      <c r="F66" s="12" t="inlineStr">
        <is>
          <t>Critical</t>
        </is>
      </c>
      <c r="G66" s="8" t="inlineStr">
        <is>
          <t>Not Started</t>
        </is>
      </c>
      <c r="H66" s="8" t="inlineStr">
        <is>
          <t>Minimum viable food database</t>
        </is>
      </c>
    </row>
    <row r="67">
      <c r="A67" s="8" t="n">
        <v>66</v>
      </c>
      <c r="B67" s="8" t="inlineStr">
        <is>
          <t>Data Accuracy</t>
        </is>
      </c>
      <c r="C67" s="8" t="inlineStr">
        <is>
          <t>Coverage</t>
        </is>
      </c>
      <c r="D67" s="8" t="inlineStr">
        <is>
          <t>Top 20 SG hawker centres represented</t>
        </is>
      </c>
      <c r="E67" s="8" t="inlineStr">
        <is>
          <t>N/A</t>
        </is>
      </c>
      <c r="F67" s="9" t="inlineStr">
        <is>
          <t>High</t>
        </is>
      </c>
      <c r="G67" s="8" t="inlineStr">
        <is>
          <t>Not Started</t>
        </is>
      </c>
      <c r="H67" s="8" t="n"/>
    </row>
    <row r="68">
      <c r="A68" s="8" t="n">
        <v>67</v>
      </c>
      <c r="B68" s="8" t="inlineStr">
        <is>
          <t>Distribution</t>
        </is>
      </c>
      <c r="C68" s="8" t="inlineStr">
        <is>
          <t>iOS</t>
        </is>
      </c>
      <c r="D68" s="8" t="inlineStr">
        <is>
          <t>App meets Apple HIG + privacy labels completed</t>
        </is>
      </c>
      <c r="E68" s="8" t="inlineStr">
        <is>
          <t>iOS</t>
        </is>
      </c>
      <c r="F68" s="12" t="inlineStr">
        <is>
          <t>Critical</t>
        </is>
      </c>
      <c r="G68" s="8" t="inlineStr">
        <is>
          <t>Not Started</t>
        </is>
      </c>
      <c r="H68" s="8" t="n"/>
    </row>
    <row r="69">
      <c r="A69" s="8" t="n">
        <v>68</v>
      </c>
      <c r="B69" s="8" t="inlineStr">
        <is>
          <t>Distribution</t>
        </is>
      </c>
      <c r="C69" s="8" t="inlineStr">
        <is>
          <t>iOS</t>
        </is>
      </c>
      <c r="D69" s="8" t="inlineStr">
        <is>
          <t>Apple Sign-In implemented (required)</t>
        </is>
      </c>
      <c r="E69" s="8" t="inlineStr">
        <is>
          <t>iOS</t>
        </is>
      </c>
      <c r="F69" s="12" t="inlineStr">
        <is>
          <t>Critical</t>
        </is>
      </c>
      <c r="G69" s="8" t="inlineStr">
        <is>
          <t>Not Started</t>
        </is>
      </c>
      <c r="H69" s="8" t="n"/>
    </row>
    <row r="70">
      <c r="A70" s="8" t="n">
        <v>69</v>
      </c>
      <c r="B70" s="8" t="inlineStr">
        <is>
          <t>Distribution</t>
        </is>
      </c>
      <c r="C70" s="8" t="inlineStr">
        <is>
          <t>Android</t>
        </is>
      </c>
      <c r="D70" s="8" t="inlineStr">
        <is>
          <t>Meets Google Play policies + Data Safety section</t>
        </is>
      </c>
      <c r="E70" s="8" t="inlineStr">
        <is>
          <t>Android</t>
        </is>
      </c>
      <c r="F70" s="12" t="inlineStr">
        <is>
          <t>Critical</t>
        </is>
      </c>
      <c r="G70" s="8" t="inlineStr">
        <is>
          <t>Not Started</t>
        </is>
      </c>
      <c r="H70" s="8" t="n"/>
    </row>
    <row r="71">
      <c r="A71" s="8" t="n">
        <v>70</v>
      </c>
      <c r="B71" s="8" t="inlineStr">
        <is>
          <t>Distribution</t>
        </is>
      </c>
      <c r="C71" s="8" t="inlineStr">
        <is>
          <t>PWA</t>
        </is>
      </c>
      <c r="D71" s="8" t="inlineStr">
        <is>
          <t>Manifest, service worker, Lighthouse &gt; 90</t>
        </is>
      </c>
      <c r="E71" s="8" t="inlineStr">
        <is>
          <t>PWA</t>
        </is>
      </c>
      <c r="F71" s="9" t="inlineStr">
        <is>
          <t>High</t>
        </is>
      </c>
      <c r="G71" s="8" t="inlineStr">
        <is>
          <t>Not Started</t>
        </is>
      </c>
      <c r="H71" s="8" t="n"/>
    </row>
    <row r="72">
      <c r="A72" s="8" t="n">
        <v>71</v>
      </c>
      <c r="B72" s="8" t="inlineStr">
        <is>
          <t>Analytics</t>
        </is>
      </c>
      <c r="C72" s="8" t="inlineStr">
        <is>
          <t>Tracking</t>
        </is>
      </c>
      <c r="D72" s="8" t="inlineStr">
        <is>
          <t>Onboarding start/complete/skip events tracked</t>
        </is>
      </c>
      <c r="E72" s="8" t="inlineStr">
        <is>
          <t>All</t>
        </is>
      </c>
      <c r="F72" s="12" t="inlineStr">
        <is>
          <t>Critical</t>
        </is>
      </c>
      <c r="G72" s="8" t="inlineStr">
        <is>
          <t>Not Started</t>
        </is>
      </c>
      <c r="H72" s="8" t="n"/>
    </row>
    <row r="73">
      <c r="A73" s="8" t="n">
        <v>72</v>
      </c>
      <c r="B73" s="8" t="inlineStr">
        <is>
          <t>Analytics</t>
        </is>
      </c>
      <c r="C73" s="8" t="inlineStr">
        <is>
          <t>Tracking</t>
        </is>
      </c>
      <c r="D73" s="8" t="inlineStr">
        <is>
          <t>Search, filter, sort usage tracked</t>
        </is>
      </c>
      <c r="E73" s="8" t="inlineStr">
        <is>
          <t>All</t>
        </is>
      </c>
      <c r="F73" s="12" t="inlineStr">
        <is>
          <t>Critical</t>
        </is>
      </c>
      <c r="G73" s="8" t="inlineStr">
        <is>
          <t>Not Started</t>
        </is>
      </c>
      <c r="H73" s="8" t="n"/>
    </row>
    <row r="74">
      <c r="A74" s="8" t="n">
        <v>73</v>
      </c>
      <c r="B74" s="8" t="inlineStr">
        <is>
          <t>Analytics</t>
        </is>
      </c>
      <c r="C74" s="8" t="inlineStr">
        <is>
          <t>Tracking</t>
        </is>
      </c>
      <c r="D74" s="8" t="inlineStr">
        <is>
          <t>Meal log and + button clicks tracked</t>
        </is>
      </c>
      <c r="E74" s="8" t="inlineStr">
        <is>
          <t>All</t>
        </is>
      </c>
      <c r="F74" s="12" t="inlineStr">
        <is>
          <t>Critical</t>
        </is>
      </c>
      <c r="G74" s="8" t="inlineStr">
        <is>
          <t>Not Started</t>
        </is>
      </c>
      <c r="H74" s="8" t="n"/>
    </row>
    <row r="75">
      <c r="A75" s="8" t="n">
        <v>74</v>
      </c>
      <c r="B75" s="8" t="inlineStr">
        <is>
          <t>Analytics</t>
        </is>
      </c>
      <c r="C75" s="8" t="inlineStr">
        <is>
          <t>Crashes</t>
        </is>
      </c>
      <c r="D75" s="8" t="inlineStr">
        <is>
          <t>Crash reporting SDK integrated (Sentry/Crashlytics)</t>
        </is>
      </c>
      <c r="E75" s="8" t="inlineStr">
        <is>
          <t>All</t>
        </is>
      </c>
      <c r="F75" s="12" t="inlineStr">
        <is>
          <t>Critical</t>
        </is>
      </c>
      <c r="G75" s="8" t="inlineStr">
        <is>
          <t>Not Started</t>
        </is>
      </c>
      <c r="H75" s="8" t="n"/>
    </row>
    <row r="76">
      <c r="A76" s="8" t="n">
        <v>75</v>
      </c>
      <c r="B76" s="8" t="inlineStr">
        <is>
          <t>Legal</t>
        </is>
      </c>
      <c r="C76" s="8" t="inlineStr">
        <is>
          <t>PDPA</t>
        </is>
      </c>
      <c r="D76" s="8" t="inlineStr">
        <is>
          <t>Privacy policy covers PDPA requirements</t>
        </is>
      </c>
      <c r="E76" s="8" t="inlineStr">
        <is>
          <t>All</t>
        </is>
      </c>
      <c r="F76" s="12" t="inlineStr">
        <is>
          <t>Critical</t>
        </is>
      </c>
      <c r="G76" s="8" t="inlineStr">
        <is>
          <t>Not Started</t>
        </is>
      </c>
      <c r="H76" s="8" t="n"/>
    </row>
    <row r="77">
      <c r="A77" s="8" t="n">
        <v>76</v>
      </c>
      <c r="B77" s="8" t="inlineStr">
        <is>
          <t>Legal</t>
        </is>
      </c>
      <c r="C77" s="8" t="inlineStr">
        <is>
          <t>Terms</t>
        </is>
      </c>
      <c r="D77" s="8" t="inlineStr">
        <is>
          <t>Terms of Service accessible in-app</t>
        </is>
      </c>
      <c r="E77" s="8" t="inlineStr">
        <is>
          <t>All</t>
        </is>
      </c>
      <c r="F77" s="12" t="inlineStr">
        <is>
          <t>Critical</t>
        </is>
      </c>
      <c r="G77" s="8" t="inlineStr">
        <is>
          <t>Not Started</t>
        </is>
      </c>
      <c r="H77" s="8" t="n"/>
    </row>
    <row r="78" ht="25.5" customHeight="1">
      <c r="A78" s="8" t="n">
        <v>77</v>
      </c>
      <c r="B78" s="8" t="inlineStr">
        <is>
          <t>Legal</t>
        </is>
      </c>
      <c r="C78" s="8" t="inlineStr">
        <is>
          <t>Disclaimer</t>
        </is>
      </c>
      <c r="D78" s="8" t="inlineStr">
        <is>
          <t>Nutritional data disclaimer: "Estimates only. Not medical advice."</t>
        </is>
      </c>
      <c r="E78" s="8" t="inlineStr">
        <is>
          <t>All</t>
        </is>
      </c>
      <c r="F78" s="12" t="inlineStr">
        <is>
          <t>Critical</t>
        </is>
      </c>
      <c r="G78" s="8" t="inlineStr">
        <is>
          <t>Not Started</t>
        </is>
      </c>
      <c r="H78" s="8" t="inlineStr">
        <is>
          <t>Liability protection</t>
        </is>
      </c>
    </row>
    <row r="79">
      <c r="A79" s="8" t="n">
        <v>78</v>
      </c>
      <c r="B79" s="8" t="inlineStr">
        <is>
          <t>Go-to-Market</t>
        </is>
      </c>
      <c r="C79" s="8" t="inlineStr">
        <is>
          <t>Launch</t>
        </is>
      </c>
      <c r="D79" s="8" t="inlineStr">
        <is>
          <t>Landing page live with app store links + value prop</t>
        </is>
      </c>
      <c r="E79" s="8" t="inlineStr">
        <is>
          <t>Web</t>
        </is>
      </c>
      <c r="F79" s="9" t="inlineStr">
        <is>
          <t>High</t>
        </is>
      </c>
      <c r="G79" s="8" t="inlineStr">
        <is>
          <t>Not Started</t>
        </is>
      </c>
      <c r="H79" s="8" t="n"/>
    </row>
    <row r="80">
      <c r="A80" s="8" t="n">
        <v>79</v>
      </c>
      <c r="B80" s="8" t="inlineStr">
        <is>
          <t>Go-to-Market</t>
        </is>
      </c>
      <c r="C80" s="8" t="inlineStr">
        <is>
          <t>Launch</t>
        </is>
      </c>
      <c r="D80" s="8" t="inlineStr">
        <is>
          <t>Soft launch plan: 500 beta users from SG fitness communities</t>
        </is>
      </c>
      <c r="E80" s="8" t="inlineStr">
        <is>
          <t>N/A</t>
        </is>
      </c>
      <c r="F80" s="9" t="inlineStr">
        <is>
          <t>High</t>
        </is>
      </c>
      <c r="G80" s="8" t="inlineStr">
        <is>
          <t>Not Started</t>
        </is>
      </c>
      <c r="H80" s="8" t="inlineStr">
        <is>
          <t>r/singapore, HWZ, Telegram groups</t>
        </is>
      </c>
    </row>
    <row r="81">
      <c r="A81" s="8" t="n">
        <v>80</v>
      </c>
      <c r="B81" s="8" t="inlineStr">
        <is>
          <t>Go-to-Market</t>
        </is>
      </c>
      <c r="C81" s="8" t="inlineStr">
        <is>
          <t>Feedback</t>
        </is>
      </c>
      <c r="D81" s="8" t="inlineStr">
        <is>
          <t>In-app feedback mechanism (feedback button in Settings)</t>
        </is>
      </c>
      <c r="E81" s="8" t="inlineStr">
        <is>
          <t>All</t>
        </is>
      </c>
      <c r="F81" s="9" t="inlineStr">
        <is>
          <t>High</t>
        </is>
      </c>
      <c r="G81" s="8" t="inlineStr">
        <is>
          <t>Not Started</t>
        </is>
      </c>
      <c r="H81" s="8" t="n"/>
    </row>
    <row r="82" ht="25.5" customHeight="1">
      <c r="A82" s="8" t="n">
        <v>81</v>
      </c>
      <c r="B82" s="8" t="inlineStr">
        <is>
          <t>Go-to-Market</t>
        </is>
      </c>
      <c r="C82" s="8" t="inlineStr">
        <is>
          <t>ASO</t>
        </is>
      </c>
      <c r="D82" s="8" t="inlineStr">
        <is>
          <t>App Store keywords: "calorie tracker singapore", "macro food near me"</t>
        </is>
      </c>
      <c r="E82" s="8" t="inlineStr">
        <is>
          <t>iOS/Android</t>
        </is>
      </c>
      <c r="F82" s="9" t="inlineStr">
        <is>
          <t>High</t>
        </is>
      </c>
      <c r="G82" s="8" t="inlineStr">
        <is>
          <t>Not Started</t>
        </is>
      </c>
      <c r="H82" s="8" t="n"/>
    </row>
  </sheetData>
  <autoFilter ref="A1:H82"/>
  <dataValidations count="1">
    <dataValidation sqref="G2:G82" showDropDown="0" showInputMessage="0" showErrorMessage="0" allowBlank="1" type="list">
      <formula1>"Not Started,In Progress,Passed,Failed,Blocked"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2026-05-12T15:11:17Z</dcterms:created>
  <dcterms:modified xmlns:dcterms="http://purl.org/dc/terms/" xmlns:xsi="http://www.w3.org/2001/XMLSchema-instance" xsi:type="dcterms:W3CDTF">2026-05-13T00:49:21Z</dcterms:modified>
  <cp:lastModifiedBy>Ming Hao Choo</cp:lastModifiedBy>
  <cp:revision>0</cp:revision>
</cp:coreProperties>
</file>